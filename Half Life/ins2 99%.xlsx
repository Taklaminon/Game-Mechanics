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E38274EE-874E-4FC1-8F10-E9B0F3F64D0C}" xr6:coauthVersionLast="47" xr6:coauthVersionMax="47" xr10:uidLastSave="{00000000-0000-0000-0000-000000000000}"/>
  <bookViews>
    <workbookView xWindow="-98" yWindow="-98" windowWidth="19396" windowHeight="11475" xr2:uid="{C160CF64-87D9-4795-8D21-956AB4059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S2" i="1"/>
  <c r="P2" i="1"/>
  <c r="P8" i="1"/>
  <c r="P4" i="1"/>
  <c r="P5" i="1"/>
  <c r="P6" i="1"/>
  <c r="P7" i="1"/>
</calcChain>
</file>

<file path=xl/sharedStrings.xml><?xml version="1.0" encoding="utf-8"?>
<sst xmlns="http://schemas.openxmlformats.org/spreadsheetml/2006/main" count="98" uniqueCount="65">
  <si>
    <t>ammo name</t>
  </si>
  <si>
    <t>cost</t>
  </si>
  <si>
    <t>amount</t>
  </si>
  <si>
    <t>9x19mm</t>
  </si>
  <si>
    <t>9x18mm</t>
  </si>
  <si>
    <t>5.56x45mm</t>
  </si>
  <si>
    <t>weapon</t>
  </si>
  <si>
    <t>any smg</t>
  </si>
  <si>
    <t>mauser</t>
  </si>
  <si>
    <t>UMP (smg)</t>
  </si>
  <si>
    <t>makarov</t>
  </si>
  <si>
    <t>webley</t>
  </si>
  <si>
    <t>python</t>
  </si>
  <si>
    <t>model 29</t>
  </si>
  <si>
    <t>M249 (LMG)</t>
  </si>
  <si>
    <t>ammo type</t>
  </si>
  <si>
    <t>damage</t>
  </si>
  <si>
    <t>7.63x39mm</t>
  </si>
  <si>
    <t>Mk. 18 MOD 1</t>
  </si>
  <si>
    <t>notes</t>
  </si>
  <si>
    <t>good sight</t>
  </si>
  <si>
    <t>schnellfeuer</t>
  </si>
  <si>
    <t>M4A1</t>
  </si>
  <si>
    <t>G36C</t>
  </si>
  <si>
    <t>seems like a worse M4A1</t>
  </si>
  <si>
    <t>type</t>
  </si>
  <si>
    <t>carbine</t>
  </si>
  <si>
    <t>5.45x39mm</t>
  </si>
  <si>
    <t>AKS-74U</t>
  </si>
  <si>
    <t>any weapon</t>
  </si>
  <si>
    <t>7.62x33mm</t>
  </si>
  <si>
    <t>M1A1</t>
  </si>
  <si>
    <t>eco choice</t>
  </si>
  <si>
    <t>7.62x39mm</t>
  </si>
  <si>
    <t>sks</t>
  </si>
  <si>
    <t>has a bayonet, semi-auto, MOD is better otherwise</t>
  </si>
  <si>
    <t>akm (rifle)</t>
  </si>
  <si>
    <t>eco choice, but less useful than M4A1</t>
  </si>
  <si>
    <t>don't buy this</t>
  </si>
  <si>
    <t>webley:</t>
  </si>
  <si>
    <t>.45ACP</t>
  </si>
  <si>
    <t>UMP-45</t>
  </si>
  <si>
    <t>M3</t>
  </si>
  <si>
    <t>thompson</t>
  </si>
  <si>
    <t>smg</t>
  </si>
  <si>
    <t>worse UMP</t>
  </si>
  <si>
    <t>MP5k</t>
  </si>
  <si>
    <t>MP-18</t>
  </si>
  <si>
    <t>MP-40</t>
  </si>
  <si>
    <t>MP5SD</t>
  </si>
  <si>
    <t>L2A3</t>
  </si>
  <si>
    <t>smaller mag but faster reload than thompson, no recoil</t>
  </si>
  <si>
    <t>annoying fucking ironsights takes up half the screen, inaccurate</t>
  </si>
  <si>
    <t>has recoil</t>
  </si>
  <si>
    <t>minor recoil, actual crosshair is below the ironsights</t>
  </si>
  <si>
    <t>no recoil</t>
  </si>
  <si>
    <t>Papasha</t>
  </si>
  <si>
    <t>bad recoil, bad accuracy, but excellent DPS</t>
  </si>
  <si>
    <t>M40A1</t>
  </si>
  <si>
    <t>in the "slow sniper" class, faster than the mosin</t>
  </si>
  <si>
    <t>Mosin</t>
  </si>
  <si>
    <t>in the "slow sniper" class</t>
  </si>
  <si>
    <t>7.62x51mm</t>
  </si>
  <si>
    <t>any battle rifle</t>
  </si>
  <si>
    <t>no recoil, dead accurate, worst fucking ironsights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</si>
</sst>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7F9D-1273-489B-9484-CDD372637E8B}">
  <dimension ref="B1:S24"/>
  <sheetViews>
    <sheetView tabSelected="1" topLeftCell="A6" workbookViewId="0">
      <selection activeCell="N18" sqref="N18"/>
    </sheetView>
  </sheetViews>
  <sheetFormatPr defaultRowHeight="14.25" x14ac:dyDescent="0.45"/>
  <cols>
    <col min="2" max="2" width="12.1328125" bestFit="1" customWidth="1"/>
    <col min="5" max="5" width="11.1328125" bestFit="1" customWidth="1"/>
    <col min="10" max="10" width="12.73046875" bestFit="1" customWidth="1"/>
    <col min="12" max="12" width="10.73046875" bestFit="1" customWidth="1"/>
    <col min="14" max="14" width="58.3984375" bestFit="1" customWidth="1"/>
  </cols>
  <sheetData>
    <row r="1" spans="2:19" x14ac:dyDescent="0.45">
      <c r="B1" t="s">
        <v>0</v>
      </c>
      <c r="C1" t="s">
        <v>2</v>
      </c>
      <c r="D1" t="s">
        <v>1</v>
      </c>
      <c r="E1" t="s">
        <v>6</v>
      </c>
      <c r="J1" t="s">
        <v>6</v>
      </c>
      <c r="K1" t="s">
        <v>25</v>
      </c>
      <c r="L1" t="s">
        <v>15</v>
      </c>
      <c r="M1" t="s">
        <v>16</v>
      </c>
      <c r="N1" t="s">
        <v>19</v>
      </c>
    </row>
    <row r="2" spans="2:19" x14ac:dyDescent="0.45">
      <c r="B2" t="s">
        <v>3</v>
      </c>
      <c r="C2">
        <v>30</v>
      </c>
      <c r="D2">
        <v>20</v>
      </c>
      <c r="E2" t="s">
        <v>7</v>
      </c>
      <c r="J2" t="s">
        <v>21</v>
      </c>
      <c r="K2" t="s">
        <v>26</v>
      </c>
      <c r="L2" t="s">
        <v>17</v>
      </c>
      <c r="M2">
        <v>135</v>
      </c>
      <c r="N2" t="s">
        <v>38</v>
      </c>
      <c r="P2">
        <f>M2*C3/D3</f>
        <v>90</v>
      </c>
      <c r="S2">
        <f>1.25*119</f>
        <v>148.75</v>
      </c>
    </row>
    <row r="3" spans="2:19" x14ac:dyDescent="0.45">
      <c r="B3" t="s">
        <v>17</v>
      </c>
      <c r="C3">
        <v>10</v>
      </c>
      <c r="D3">
        <v>15</v>
      </c>
      <c r="E3" t="s">
        <v>8</v>
      </c>
      <c r="J3" t="s">
        <v>18</v>
      </c>
      <c r="K3" t="s">
        <v>26</v>
      </c>
      <c r="L3" t="s">
        <v>5</v>
      </c>
      <c r="M3">
        <v>108</v>
      </c>
      <c r="N3" t="s">
        <v>20</v>
      </c>
    </row>
    <row r="4" spans="2:19" x14ac:dyDescent="0.45">
      <c r="B4" t="s">
        <v>40</v>
      </c>
      <c r="C4">
        <v>25</v>
      </c>
      <c r="D4">
        <v>20</v>
      </c>
      <c r="E4" t="s">
        <v>9</v>
      </c>
      <c r="J4" t="s">
        <v>22</v>
      </c>
      <c r="K4" t="s">
        <v>26</v>
      </c>
      <c r="L4" t="s">
        <v>5</v>
      </c>
      <c r="M4">
        <v>119</v>
      </c>
      <c r="N4" t="s">
        <v>32</v>
      </c>
      <c r="P4">
        <f>M4*C9/D9</f>
        <v>183.07692307692307</v>
      </c>
    </row>
    <row r="5" spans="2:19" x14ac:dyDescent="0.45">
      <c r="B5" t="s">
        <v>4</v>
      </c>
      <c r="C5">
        <v>8</v>
      </c>
      <c r="D5">
        <v>5</v>
      </c>
      <c r="E5" t="s">
        <v>10</v>
      </c>
      <c r="J5" t="s">
        <v>23</v>
      </c>
      <c r="K5" t="s">
        <v>26</v>
      </c>
      <c r="L5" t="s">
        <v>5</v>
      </c>
      <c r="M5">
        <v>108</v>
      </c>
      <c r="N5" t="s">
        <v>24</v>
      </c>
      <c r="P5">
        <f>M5*C9/D9</f>
        <v>166.15384615384616</v>
      </c>
    </row>
    <row r="6" spans="2:19" x14ac:dyDescent="0.45">
      <c r="B6">
        <v>0.45500000000000002</v>
      </c>
      <c r="C6">
        <v>6</v>
      </c>
      <c r="D6">
        <v>10</v>
      </c>
      <c r="E6" t="s">
        <v>11</v>
      </c>
      <c r="J6" t="s">
        <v>28</v>
      </c>
      <c r="K6" t="s">
        <v>26</v>
      </c>
      <c r="L6" t="s">
        <v>27</v>
      </c>
      <c r="M6">
        <v>119</v>
      </c>
      <c r="N6" t="s">
        <v>24</v>
      </c>
      <c r="P6">
        <f>M6*C10/D10</f>
        <v>119</v>
      </c>
    </row>
    <row r="7" spans="2:19" x14ac:dyDescent="0.45">
      <c r="B7">
        <v>0.35699999999999998</v>
      </c>
      <c r="C7">
        <v>6</v>
      </c>
      <c r="D7">
        <v>15</v>
      </c>
      <c r="E7" t="s">
        <v>12</v>
      </c>
      <c r="J7" t="s">
        <v>31</v>
      </c>
      <c r="K7" t="s">
        <v>26</v>
      </c>
      <c r="L7" t="s">
        <v>30</v>
      </c>
      <c r="M7">
        <v>162</v>
      </c>
      <c r="N7" t="s">
        <v>35</v>
      </c>
      <c r="P7">
        <f>M7*C11/D11</f>
        <v>121.5</v>
      </c>
    </row>
    <row r="8" spans="2:19" x14ac:dyDescent="0.45">
      <c r="B8">
        <v>0.44</v>
      </c>
      <c r="C8">
        <v>6</v>
      </c>
      <c r="D8">
        <v>20</v>
      </c>
      <c r="E8" t="s">
        <v>13</v>
      </c>
      <c r="J8" t="s">
        <v>34</v>
      </c>
      <c r="K8" t="s">
        <v>26</v>
      </c>
      <c r="L8" t="s">
        <v>33</v>
      </c>
      <c r="M8">
        <v>189</v>
      </c>
      <c r="N8" t="s">
        <v>37</v>
      </c>
      <c r="P8">
        <f>M8*C12/D12</f>
        <v>189</v>
      </c>
    </row>
    <row r="9" spans="2:19" x14ac:dyDescent="0.45">
      <c r="B9" t="s">
        <v>5</v>
      </c>
      <c r="C9">
        <v>200</v>
      </c>
      <c r="D9">
        <v>130</v>
      </c>
      <c r="E9" t="s">
        <v>14</v>
      </c>
    </row>
    <row r="10" spans="2:19" x14ac:dyDescent="0.45">
      <c r="B10" t="s">
        <v>27</v>
      </c>
      <c r="C10">
        <v>30</v>
      </c>
      <c r="D10">
        <v>30</v>
      </c>
      <c r="E10" t="s">
        <v>29</v>
      </c>
      <c r="J10" t="s">
        <v>41</v>
      </c>
      <c r="K10" t="s">
        <v>44</v>
      </c>
      <c r="L10" t="s">
        <v>40</v>
      </c>
      <c r="M10">
        <v>103</v>
      </c>
      <c r="N10" t="s">
        <v>51</v>
      </c>
    </row>
    <row r="11" spans="2:19" x14ac:dyDescent="0.45">
      <c r="B11" t="s">
        <v>30</v>
      </c>
      <c r="C11">
        <v>15</v>
      </c>
      <c r="D11">
        <v>20</v>
      </c>
      <c r="E11" t="s">
        <v>31</v>
      </c>
      <c r="J11" t="s">
        <v>42</v>
      </c>
      <c r="K11" t="s">
        <v>44</v>
      </c>
      <c r="L11" t="s">
        <v>40</v>
      </c>
      <c r="M11">
        <v>98</v>
      </c>
      <c r="N11" t="s">
        <v>45</v>
      </c>
      <c r="P11" t="s">
        <v>39</v>
      </c>
    </row>
    <row r="12" spans="2:19" x14ac:dyDescent="0.45">
      <c r="B12" t="s">
        <v>33</v>
      </c>
      <c r="C12">
        <v>30</v>
      </c>
      <c r="D12">
        <v>30</v>
      </c>
      <c r="E12" t="s">
        <v>36</v>
      </c>
      <c r="J12" t="s">
        <v>43</v>
      </c>
      <c r="K12" t="s">
        <v>44</v>
      </c>
      <c r="L12" t="s">
        <v>40</v>
      </c>
      <c r="M12">
        <v>103</v>
      </c>
      <c r="N12" t="s">
        <v>52</v>
      </c>
      <c r="P12">
        <f>460*6/10</f>
        <v>276</v>
      </c>
    </row>
    <row r="13" spans="2:19" x14ac:dyDescent="0.45">
      <c r="B13" t="s">
        <v>62</v>
      </c>
      <c r="C13">
        <v>20</v>
      </c>
      <c r="D13">
        <v>20</v>
      </c>
      <c r="E13" t="s">
        <v>63</v>
      </c>
    </row>
    <row r="14" spans="2:19" x14ac:dyDescent="0.45">
      <c r="J14" t="s">
        <v>46</v>
      </c>
      <c r="K14" t="s">
        <v>44</v>
      </c>
      <c r="L14" t="s">
        <v>3</v>
      </c>
      <c r="N14" t="s">
        <v>53</v>
      </c>
    </row>
    <row r="15" spans="2:19" x14ac:dyDescent="0.45">
      <c r="J15" t="s">
        <v>47</v>
      </c>
      <c r="K15" t="s">
        <v>44</v>
      </c>
      <c r="L15" t="s">
        <v>3</v>
      </c>
      <c r="N15" t="s">
        <v>55</v>
      </c>
    </row>
    <row r="16" spans="2:19" x14ac:dyDescent="0.45">
      <c r="J16" t="s">
        <v>48</v>
      </c>
      <c r="K16" t="s">
        <v>44</v>
      </c>
      <c r="L16" t="s">
        <v>3</v>
      </c>
      <c r="N16" t="s">
        <v>55</v>
      </c>
    </row>
    <row r="17" spans="10:14" x14ac:dyDescent="0.45">
      <c r="J17" t="s">
        <v>49</v>
      </c>
      <c r="K17" t="s">
        <v>44</v>
      </c>
      <c r="L17" t="s">
        <v>3</v>
      </c>
      <c r="N17" t="s">
        <v>54</v>
      </c>
    </row>
    <row r="18" spans="10:14" x14ac:dyDescent="0.45">
      <c r="J18" t="s">
        <v>50</v>
      </c>
      <c r="K18" t="s">
        <v>44</v>
      </c>
      <c r="L18" t="s">
        <v>3</v>
      </c>
      <c r="N18" t="s">
        <v>64</v>
      </c>
    </row>
    <row r="20" spans="10:14" x14ac:dyDescent="0.45">
      <c r="J20" t="s">
        <v>56</v>
      </c>
      <c r="K20" t="s">
        <v>44</v>
      </c>
      <c r="N20" t="s">
        <v>57</v>
      </c>
    </row>
    <row r="23" spans="10:14" x14ac:dyDescent="0.45">
      <c r="J23" t="s">
        <v>58</v>
      </c>
      <c r="N23" t="s">
        <v>59</v>
      </c>
    </row>
    <row r="24" spans="10:14" x14ac:dyDescent="0.45">
      <c r="J24" t="s">
        <v>60</v>
      </c>
      <c r="N24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A72D0FD0-2E05-44A5-AA7B-C2E5FD486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3923D-F3AA-4CEA-94A6-D636F3CC5C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1D058-C307-4D35-8853-2C0C006C8CF3}">
  <ds:schemaRefs>
    <ds:schemaRef ds:uri="http://schemas.microsoft.com/office/2006/documentManagement/types"/>
    <ds:schemaRef ds:uri="3bd2448e-bc80-4060-9b44-5204c1169a85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08ceecc5-2daa-47f4-9f70-3b427bddc800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2026-03-15T07:23:38Z</dcterms:created>
  <dcterms:modified xsi:type="dcterms:W3CDTF">2026-09-29T04:29:46Z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