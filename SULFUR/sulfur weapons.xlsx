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"/>
    </mc:Choice>
  </mc:AlternateContent>
  <xr:revisionPtr revIDLastSave="0" documentId="8_{A5B8F5C1-FB33-4904-B0C7-35DD6C49DE27}" xr6:coauthVersionLast="47" xr6:coauthVersionMax="47" xr10:uidLastSave="{00000000-0000-0000-0000-000000000000}"/>
  <bookViews>
    <workbookView xWindow="0" yWindow="0" windowWidth="14400" windowHeight="15600" xr2:uid="{6E315986-E3AE-41F8-A853-EA4D2ABA423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" l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B20" i="2"/>
  <c r="AB45" i="2"/>
  <c r="AB33" i="2"/>
  <c r="AB43" i="2"/>
  <c r="AB22" i="2"/>
  <c r="AB23" i="2"/>
  <c r="AB40" i="2"/>
  <c r="AB8" i="2"/>
  <c r="AB2" i="2"/>
  <c r="AB4" i="2"/>
  <c r="AB24" i="2"/>
  <c r="AB39" i="2"/>
  <c r="AB44" i="2"/>
  <c r="AB38" i="2"/>
  <c r="AB34" i="2"/>
  <c r="AB7" i="2"/>
  <c r="AB10" i="2"/>
  <c r="AB16" i="2"/>
  <c r="AB35" i="2"/>
  <c r="AB42" i="2"/>
  <c r="AB6" i="2"/>
  <c r="AB21" i="2"/>
  <c r="AB29" i="2"/>
  <c r="AB30" i="2"/>
  <c r="AB48" i="2"/>
  <c r="AB49" i="2"/>
  <c r="AB50" i="2"/>
  <c r="AB25" i="2"/>
  <c r="AB27" i="2"/>
  <c r="AB31" i="2"/>
  <c r="AB12" i="2"/>
  <c r="AB14" i="2"/>
  <c r="AB18" i="2"/>
  <c r="AB19" i="2"/>
  <c r="AB28" i="2"/>
  <c r="AB37" i="2"/>
  <c r="AB46" i="2"/>
  <c r="AB51" i="2"/>
  <c r="AB3" i="2"/>
  <c r="AB41" i="2"/>
  <c r="AB11" i="2"/>
  <c r="AB15" i="2"/>
  <c r="AB26" i="2"/>
  <c r="AB17" i="2"/>
  <c r="AB32" i="2"/>
  <c r="AB36" i="2"/>
  <c r="AB5" i="2"/>
  <c r="AB9" i="2"/>
  <c r="AB13" i="2"/>
  <c r="AB47" i="2"/>
  <c r="AB52" i="2"/>
  <c r="R37" i="2"/>
  <c r="R52" i="2"/>
  <c r="R7" i="2"/>
  <c r="R32" i="2"/>
  <c r="R35" i="2"/>
  <c r="R17" i="2"/>
  <c r="R41" i="2"/>
  <c r="R45" i="2"/>
  <c r="R3" i="2"/>
  <c r="R18" i="2"/>
  <c r="R25" i="2"/>
  <c r="R42" i="2"/>
  <c r="R21" i="2"/>
  <c r="R9" i="2"/>
  <c r="R27" i="2"/>
  <c r="R29" i="2"/>
  <c r="R19" i="2"/>
  <c r="R13" i="2"/>
  <c r="R6" i="2"/>
  <c r="R49" i="2"/>
  <c r="R36" i="2"/>
  <c r="R12" i="2"/>
  <c r="R48" i="2"/>
  <c r="R30" i="2"/>
  <c r="R28" i="2"/>
  <c r="R46" i="2"/>
  <c r="R40" i="2"/>
  <c r="R43" i="2"/>
  <c r="R51" i="2"/>
  <c r="R50" i="2"/>
  <c r="R47" i="2"/>
  <c r="R11" i="2"/>
  <c r="R23" i="2"/>
  <c r="R33" i="2"/>
  <c r="R14" i="2"/>
  <c r="R10" i="2"/>
  <c r="R24" i="2"/>
  <c r="R16" i="2"/>
  <c r="R5" i="2"/>
  <c r="R22" i="2"/>
  <c r="R4" i="2"/>
  <c r="R15" i="2"/>
  <c r="R38" i="2"/>
  <c r="R20" i="2"/>
  <c r="R26" i="2"/>
  <c r="R31" i="2"/>
  <c r="R44" i="2"/>
  <c r="R34" i="2"/>
  <c r="R2" i="2"/>
  <c r="R39" i="2"/>
  <c r="R8" i="2"/>
  <c r="Q7" i="2"/>
  <c r="Q47" i="2"/>
  <c r="Q5" i="2"/>
  <c r="Q9" i="2"/>
  <c r="Q13" i="2"/>
  <c r="Q8" i="2"/>
  <c r="Q34" i="2"/>
  <c r="Q2" i="2"/>
  <c r="Q39" i="2"/>
  <c r="Q31" i="2"/>
  <c r="Q44" i="2"/>
  <c r="Q20" i="2"/>
  <c r="Q26" i="2"/>
  <c r="Q38" i="2"/>
  <c r="Q15" i="2"/>
  <c r="Q4" i="2"/>
  <c r="Q22" i="2"/>
  <c r="Q16" i="2"/>
  <c r="Q10" i="2"/>
  <c r="Q24" i="2"/>
  <c r="Q23" i="2"/>
  <c r="Q33" i="2"/>
  <c r="Q14" i="2"/>
  <c r="Q11" i="2"/>
  <c r="Q40" i="2"/>
  <c r="Q43" i="2"/>
  <c r="Q51" i="2"/>
  <c r="Q50" i="2"/>
  <c r="Q46" i="2"/>
  <c r="Q30" i="2"/>
  <c r="Q28" i="2"/>
  <c r="Q48" i="2"/>
  <c r="Q12" i="2"/>
  <c r="Q6" i="2"/>
  <c r="Q49" i="2"/>
  <c r="Q36" i="2"/>
  <c r="Q19" i="2"/>
  <c r="Q29" i="2"/>
  <c r="Q27" i="2"/>
  <c r="Q21" i="2"/>
  <c r="Q42" i="2"/>
  <c r="Q25" i="2"/>
  <c r="Q37" i="2"/>
  <c r="Q18" i="2"/>
  <c r="Q3" i="2"/>
  <c r="Q45" i="2"/>
  <c r="Q41" i="2"/>
  <c r="Q17" i="2"/>
  <c r="Q35" i="2"/>
  <c r="Q52" i="2"/>
  <c r="Q32" i="2"/>
</calcChain>
</file>

<file path=xl/sharedStrings.xml><?xml version="1.0" encoding="utf-8"?>
<sst xmlns="http://schemas.openxmlformats.org/spreadsheetml/2006/main" count="594" uniqueCount="136">
  <si>
    <t>Name</t>
  </si>
  <si>
    <t>Grid Size</t>
  </si>
  <si>
    <t>Value</t>
  </si>
  <si>
    <t>Durability</t>
  </si>
  <si>
    <t>Ammo</t>
  </si>
  <si>
    <t>Damage</t>
  </si>
  <si>
    <t>RPM</t>
  </si>
  <si>
    <t>Magazine</t>
  </si>
  <si>
    <t>Mode</t>
  </si>
  <si>
    <t>Recoil</t>
  </si>
  <si>
    <t>Spread</t>
  </si>
  <si>
    <t>Weight</t>
  </si>
  <si>
    <t>P38 Dirk</t>
  </si>
  <si>
    <t>2×2</t>
  </si>
  <si>
    <t>9mm</t>
  </si>
  <si>
    <t>Semi</t>
  </si>
  <si>
    <t>Socom 9</t>
  </si>
  <si>
    <t>Star &amp; Witness</t>
  </si>
  <si>
    <t>Gravekeeper</t>
  </si>
  <si>
    <t>5.56mm</t>
  </si>
  <si>
    <t>Beck 8</t>
  </si>
  <si>
    <t>Salamander</t>
  </si>
  <si>
    <t>3×2</t>
  </si>
  <si>
    <t>7.62mm</t>
  </si>
  <si>
    <t>Bronco 89</t>
  </si>
  <si>
    <t>Manual</t>
  </si>
  <si>
    <t>Flicker</t>
  </si>
  <si>
    <t>1×1</t>
  </si>
  <si>
    <t>Unknown</t>
  </si>
  <si>
    <t>2×1</t>
  </si>
  <si>
    <t>E. Cell</t>
  </si>
  <si>
    <t>Hell 'N' Back</t>
  </si>
  <si>
    <t>Cavalier</t>
  </si>
  <si>
    <t>Burst (3)</t>
  </si>
  <si>
    <t>Terrier URB.</t>
  </si>
  <si>
    <t>100†</t>
  </si>
  <si>
    <t>Snut .38</t>
  </si>
  <si>
    <t>Single Action</t>
  </si>
  <si>
    <t>Palehorse Topclipper</t>
  </si>
  <si>
    <t>.357 Balthazar</t>
  </si>
  <si>
    <t>Double Action</t>
  </si>
  <si>
    <t>Wyatt PULSAR</t>
  </si>
  <si>
    <t>200*</t>
  </si>
  <si>
    <t>Semi/Charge</t>
  </si>
  <si>
    <t>Type</t>
  </si>
  <si>
    <t>Pistol</t>
  </si>
  <si>
    <t>Revolver</t>
  </si>
  <si>
    <t>Breacher 8</t>
  </si>
  <si>
    <t>5×2</t>
  </si>
  <si>
    <t>12Ga</t>
  </si>
  <si>
    <t>40×8×(1-8)</t>
  </si>
  <si>
    <t>*</t>
  </si>
  <si>
    <t>Special</t>
  </si>
  <si>
    <t>Mossman</t>
  </si>
  <si>
    <t>40×8</t>
  </si>
  <si>
    <t>Pump</t>
  </si>
  <si>
    <t>Arbiter 2</t>
  </si>
  <si>
    <t>40×8×3</t>
  </si>
  <si>
    <t>Break</t>
  </si>
  <si>
    <t>Augusta</t>
  </si>
  <si>
    <t>50×3×3</t>
  </si>
  <si>
    <t>1889 Mario</t>
  </si>
  <si>
    <t>Flock 76</t>
  </si>
  <si>
    <t>Auto</t>
  </si>
  <si>
    <t>Majordome</t>
  </si>
  <si>
    <t>Shotgun</t>
  </si>
  <si>
    <t>Drifter 9</t>
  </si>
  <si>
    <t>Vrede</t>
  </si>
  <si>
    <t>Ploika Compact</t>
  </si>
  <si>
    <t>Ferryman</t>
  </si>
  <si>
    <t>.50 BMG</t>
  </si>
  <si>
    <t>Automatic</t>
  </si>
  <si>
    <t>M3 Termite</t>
  </si>
  <si>
    <t>Deathstar PG</t>
  </si>
  <si>
    <t>Valet</t>
  </si>
  <si>
    <t>Songbird</t>
  </si>
  <si>
    <t>SMG</t>
  </si>
  <si>
    <t>Corpsemaker</t>
  </si>
  <si>
    <t>auto</t>
  </si>
  <si>
    <t>Catacoil Rapid X</t>
  </si>
  <si>
    <t>Type 80 Typhoon</t>
  </si>
  <si>
    <t>4×2</t>
  </si>
  <si>
    <t>M11A2 Fisk</t>
  </si>
  <si>
    <t>Wingman</t>
  </si>
  <si>
    <t>Socom ACR</t>
  </si>
  <si>
    <t>burst (2)</t>
  </si>
  <si>
    <t>Assault Rifle</t>
  </si>
  <si>
    <t>Rektor 100rd</t>
  </si>
  <si>
    <t>Duhar</t>
  </si>
  <si>
    <t>Neuraxis F22</t>
  </si>
  <si>
    <t>E.Cell</t>
  </si>
  <si>
    <t>400-2000†</t>
  </si>
  <si>
    <t>20-2†</t>
  </si>
  <si>
    <t>Warpig</t>
  </si>
  <si>
    <t>Chat-Pardeur 98</t>
  </si>
  <si>
    <t>LMG</t>
  </si>
  <si>
    <t>Knop .22</t>
  </si>
  <si>
    <t>Breech</t>
  </si>
  <si>
    <t>M182 Pierre-Fusil</t>
  </si>
  <si>
    <t>Semi-Auto</t>
  </si>
  <si>
    <t>Tailor Marksman MKII</t>
  </si>
  <si>
    <t>Farsight</t>
  </si>
  <si>
    <t>Rifle</t>
  </si>
  <si>
    <t>Rokua .308</t>
  </si>
  <si>
    <t>Bolt Action</t>
  </si>
  <si>
    <t>Dolphin 99</t>
  </si>
  <si>
    <t>6×2</t>
  </si>
  <si>
    <t>Manual Cocking</t>
  </si>
  <si>
    <t>D4RT</t>
  </si>
  <si>
    <t>Energy Cell</t>
  </si>
  <si>
    <t>Break Action</t>
  </si>
  <si>
    <t>Impala Gravita</t>
  </si>
  <si>
    <t>Manual "Bowstring Action"</t>
  </si>
  <si>
    <t>Longboy</t>
  </si>
  <si>
    <t>7×2</t>
  </si>
  <si>
    <t>Sniper Rifle</t>
  </si>
  <si>
    <t>Damage Mult</t>
  </si>
  <si>
    <t>DPS</t>
  </si>
  <si>
    <t>durability minutes</t>
  </si>
  <si>
    <t>12ga spread</t>
  </si>
  <si>
    <t>bullet spread</t>
  </si>
  <si>
    <t>N/A</t>
  </si>
  <si>
    <t>Reload time</t>
  </si>
  <si>
    <t>Burst (2)</t>
  </si>
  <si>
    <t>Kick Power 9mm</t>
  </si>
  <si>
    <t>Kick Power 12ga</t>
  </si>
  <si>
    <t>Kick Power 556</t>
  </si>
  <si>
    <t>Kick Power 762</t>
  </si>
  <si>
    <t>Kick Power 50bmg</t>
  </si>
  <si>
    <t>Kick Power laser</t>
  </si>
  <si>
    <t>Bullet Speed</t>
  </si>
  <si>
    <t>Kick Compensation</t>
  </si>
  <si>
    <t>max rps</t>
  </si>
  <si>
    <t>Accurate RPM</t>
  </si>
  <si>
    <t>difference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</si>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</sst>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76CF43-28B2-4F25-8D6F-3A011243706E}" name="Table1" displayName="Table1" ref="A1:AD52" totalsRowShown="0">
  <autoFilter ref="A1:AD52" xr:uid="{3176CF43-28B2-4F25-8D6F-3A011243706E}"/>
  <sortState xmlns:xlrd2="http://schemas.microsoft.com/office/spreadsheetml/2017/richdata2" ref="A2:AD52">
    <sortCondition ref="A1:A52"/>
  </sortState>
  <tableColumns count="30">
    <tableColumn id="1" xr3:uid="{2C9D201E-4AC3-4E57-A979-D8F392172ECF}" name="Name"/>
    <tableColumn id="2" xr3:uid="{42F25AB0-58BB-4218-B0C4-9A6D9F26711B}" name="Grid Size"/>
    <tableColumn id="3" xr3:uid="{9E0D9BC2-A43D-4095-B699-5572FBA01F54}" name="Value"/>
    <tableColumn id="4" xr3:uid="{3E185B7A-7F29-42CA-B8F4-5E81764367E1}" name="Durability"/>
    <tableColumn id="5" xr3:uid="{D955E6B7-B6ED-42E0-A936-4BE0D8D39D20}" name="Ammo"/>
    <tableColumn id="6" xr3:uid="{8C7E1465-2C5C-4BEE-809D-BC1CE6B2BD5E}" name="Damage"/>
    <tableColumn id="7" xr3:uid="{18D658A2-F63C-4C03-ABC2-BEAC3234493E}" name="RPM"/>
    <tableColumn id="8" xr3:uid="{D29E1951-8C27-4CD0-AA9D-95F6058D64C3}" name="Magazine"/>
    <tableColumn id="9" xr3:uid="{8CD58389-6BE6-4DA8-9724-B8A4E550D6B7}" name="Mode"/>
    <tableColumn id="10" xr3:uid="{574C6EE1-A354-4DC1-ACCB-63420D92C0C1}" name="Recoil"/>
    <tableColumn id="11" xr3:uid="{3EDD8C8F-FA97-451E-B69A-9E71C86DC631}" name="Spread"/>
    <tableColumn id="18" xr3:uid="{5A75A9F8-FE2E-4D4D-BB7A-25F527555D44}" name="bullet spread"/>
    <tableColumn id="17" xr3:uid="{871461AB-1C1B-48DE-8F01-C679106A61E3}" name="12ga spread"/>
    <tableColumn id="12" xr3:uid="{D90FF3B3-C94A-4A29-A46A-390E2E71697F}" name="Weight"/>
    <tableColumn id="13" xr3:uid="{39D5BC4A-D6C4-4A9C-A98A-3CE698C02628}" name="Type"/>
    <tableColumn id="14" xr3:uid="{F2BF6382-603A-4745-92B1-34C5FEF7B612}" name="Damage Mult"/>
    <tableColumn id="15" xr3:uid="{59D83EF6-FDB4-4F05-A6F8-6242A101B034}" name="DPS" dataDxfId="3">
      <calculatedColumnFormula>Table1[[#This Row],[Damage Mult]]*Table1[[#This Row],[RPM]]</calculatedColumnFormula>
    </tableColumn>
    <tableColumn id="16" xr3:uid="{53DD1D16-C0B2-485A-AB58-DFEC17638122}" name="durability minutes" dataDxfId="2">
      <calculatedColumnFormula>Table1[[#This Row],[Durability]]/Table1[[#This Row],[RPM]]</calculatedColumnFormula>
    </tableColumn>
    <tableColumn id="19" xr3:uid="{69E5DC1F-7A6E-4AC4-9688-56ADA05A2060}" name="Reload time"/>
    <tableColumn id="20" xr3:uid="{73A141A9-A400-43D8-B467-39BD575D4176}" name="Kick Power 9mm"/>
    <tableColumn id="21" xr3:uid="{1EFCD48F-F9D9-4836-B284-9EC201D4E3C2}" name="Kick Power 12ga"/>
    <tableColumn id="22" xr3:uid="{1C35DC79-01EF-4C2C-9A7E-9A476B15042B}" name="Kick Power 556"/>
    <tableColumn id="23" xr3:uid="{15739C01-5ADA-4798-9A55-CDCC45DBA461}" name="Kick Power 762"/>
    <tableColumn id="24" xr3:uid="{F20F0A6A-D968-4455-B657-82139B34D4CE}" name="Kick Power 50bmg"/>
    <tableColumn id="25" xr3:uid="{3BDFD8E2-259A-42B7-ADAE-A83230078542}" name="Kick Power laser"/>
    <tableColumn id="26" xr3:uid="{A43B6E83-2B5A-4679-8376-2A05FB98F5EA}" name="Bullet Speed"/>
    <tableColumn id="27" xr3:uid="{9FE19DDE-56AE-46C4-AF02-479E201E82E7}" name="Kick Compensation"/>
    <tableColumn id="28" xr3:uid="{7ACFDA78-CCD7-42C8-816F-F4B0FFE8E3AE}" name="max rps" dataDxfId="1">
      <calculatedColumnFormula>Table1[[#This Row],[Kick Power 50bmg]]*Table1[[#This Row],[RPM]]</calculatedColumnFormula>
    </tableColumn>
    <tableColumn id="29" xr3:uid="{83CA1928-3161-4467-BACE-2A664BA3552D}" name="Accurate RPM"/>
    <tableColumn id="30" xr3:uid="{5C940FA1-5606-4C21-9ABF-A058DE1B62BC}" name="difference" dataDxfId="0">
      <calculatedColumnFormula>(Table1[[#This Row],[Accurate RPM]]-Table1[[#This Row],[RPM]])/Table1[[#This Row],[RPM]]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70B9-1324-402D-A41C-F0B555973A31}">
  <dimension ref="A1:AD52"/>
  <sheetViews>
    <sheetView tabSelected="1" zoomScale="85" zoomScaleNormal="85" workbookViewId="0">
      <selection sqref="A1:XFD1048576"/>
    </sheetView>
  </sheetViews>
  <sheetFormatPr defaultRowHeight="15" x14ac:dyDescent="0.25"/>
  <cols>
    <col min="1" max="1" width="20.5703125" bestFit="1" customWidth="1"/>
    <col min="2" max="2" width="11.28515625" bestFit="1" customWidth="1"/>
    <col min="3" max="3" width="8.5703125" bestFit="1" customWidth="1"/>
    <col min="4" max="4" width="12.140625" bestFit="1" customWidth="1"/>
    <col min="5" max="5" width="9.42578125" bestFit="1" customWidth="1"/>
    <col min="6" max="6" width="10.85546875" bestFit="1" customWidth="1"/>
    <col min="7" max="7" width="9.7109375" customWidth="1"/>
    <col min="8" max="8" width="11.7109375" bestFit="1" customWidth="1"/>
    <col min="9" max="9" width="24.7109375" bestFit="1" customWidth="1"/>
    <col min="10" max="10" width="9" bestFit="1" customWidth="1"/>
    <col min="11" max="11" width="9.5703125" bestFit="1" customWidth="1"/>
    <col min="12" max="12" width="15.140625" bestFit="1" customWidth="1"/>
    <col min="13" max="13" width="13.85546875" bestFit="1" customWidth="1"/>
    <col min="14" max="14" width="9.7109375" bestFit="1" customWidth="1"/>
    <col min="15" max="15" width="11.85546875" bestFit="1" customWidth="1"/>
    <col min="16" max="16" width="15" bestFit="1" customWidth="1"/>
    <col min="17" max="17" width="8.140625" bestFit="1" customWidth="1"/>
    <col min="18" max="18" width="20" bestFit="1" customWidth="1"/>
    <col min="19" max="19" width="14.140625" bestFit="1" customWidth="1"/>
    <col min="20" max="20" width="18" bestFit="1" customWidth="1"/>
    <col min="21" max="21" width="17.5703125" bestFit="1" customWidth="1"/>
    <col min="22" max="23" width="16.5703125" bestFit="1" customWidth="1"/>
    <col min="24" max="24" width="19.5703125" bestFit="1" customWidth="1"/>
    <col min="25" max="25" width="18" bestFit="1" customWidth="1"/>
    <col min="26" max="26" width="14.7109375" bestFit="1" customWidth="1"/>
    <col min="27" max="27" width="21" bestFit="1" customWidth="1"/>
    <col min="28" max="28" width="10.42578125" bestFit="1" customWidth="1"/>
    <col min="29" max="29" width="15.7109375" bestFit="1" customWidth="1"/>
    <col min="30" max="30" width="12.855468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120</v>
      </c>
      <c r="M1" t="s">
        <v>119</v>
      </c>
      <c r="N1" t="s">
        <v>11</v>
      </c>
      <c r="O1" t="s">
        <v>44</v>
      </c>
      <c r="P1" t="s">
        <v>116</v>
      </c>
      <c r="Q1" t="s">
        <v>117</v>
      </c>
      <c r="R1" t="s">
        <v>118</v>
      </c>
      <c r="S1" t="s">
        <v>122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</row>
    <row r="2" spans="1:30" x14ac:dyDescent="0.25">
      <c r="A2" t="s">
        <v>39</v>
      </c>
      <c r="B2" t="s">
        <v>22</v>
      </c>
      <c r="C2">
        <v>1600</v>
      </c>
      <c r="D2">
        <v>2500</v>
      </c>
      <c r="E2" t="s">
        <v>23</v>
      </c>
      <c r="F2">
        <v>160</v>
      </c>
      <c r="G2">
        <v>80</v>
      </c>
      <c r="H2">
        <v>4</v>
      </c>
      <c r="I2" t="s">
        <v>40</v>
      </c>
      <c r="J2">
        <v>20</v>
      </c>
      <c r="K2">
        <v>2</v>
      </c>
      <c r="L2">
        <v>2</v>
      </c>
      <c r="M2">
        <v>5</v>
      </c>
      <c r="N2">
        <v>5</v>
      </c>
      <c r="O2" t="s">
        <v>46</v>
      </c>
      <c r="P2">
        <v>1.6</v>
      </c>
      <c r="Q2">
        <f>Table1[[#This Row],[Damage Mult]]*Table1[[#This Row],[RPM]]</f>
        <v>128</v>
      </c>
      <c r="R2">
        <f>Table1[[#This Row],[Durability]]/Table1[[#This Row],[RPM]]</f>
        <v>31.25</v>
      </c>
      <c r="T2">
        <v>5</v>
      </c>
      <c r="U2">
        <v>25</v>
      </c>
      <c r="V2">
        <v>10</v>
      </c>
      <c r="W2">
        <v>20</v>
      </c>
      <c r="X2">
        <v>30</v>
      </c>
      <c r="Y2">
        <v>0</v>
      </c>
      <c r="Z2">
        <v>500</v>
      </c>
      <c r="AA2">
        <v>0</v>
      </c>
      <c r="AB2">
        <f>Table1[[#This Row],[Kick Power 50bmg]]*Table1[[#This Row],[RPM]]</f>
        <v>2400</v>
      </c>
      <c r="AC2">
        <v>80</v>
      </c>
      <c r="AD2">
        <f>(Table1[[#This Row],[Accurate RPM]]-Table1[[#This Row],[RPM]])/Table1[[#This Row],[RPM]]</f>
        <v>0</v>
      </c>
    </row>
    <row r="3" spans="1:30" x14ac:dyDescent="0.25">
      <c r="A3" t="s">
        <v>61</v>
      </c>
      <c r="B3" t="s">
        <v>48</v>
      </c>
      <c r="C3">
        <v>600</v>
      </c>
      <c r="D3">
        <v>2500</v>
      </c>
      <c r="E3" t="s">
        <v>49</v>
      </c>
      <c r="F3">
        <v>320</v>
      </c>
      <c r="G3">
        <v>500</v>
      </c>
      <c r="H3">
        <v>2</v>
      </c>
      <c r="I3" t="s">
        <v>58</v>
      </c>
      <c r="J3">
        <v>10</v>
      </c>
      <c r="K3">
        <v>4</v>
      </c>
      <c r="L3">
        <v>1</v>
      </c>
      <c r="M3">
        <v>4</v>
      </c>
      <c r="N3">
        <v>16</v>
      </c>
      <c r="O3" t="s">
        <v>65</v>
      </c>
      <c r="P3">
        <v>2</v>
      </c>
      <c r="Q3">
        <f>Table1[[#This Row],[Damage Mult]]*Table1[[#This Row],[RPM]]</f>
        <v>1000</v>
      </c>
      <c r="R3">
        <f>Table1[[#This Row],[Durability]]/Table1[[#This Row],[RPM]]</f>
        <v>5</v>
      </c>
      <c r="S3">
        <v>2.65</v>
      </c>
      <c r="T3">
        <v>1</v>
      </c>
      <c r="U3">
        <v>10</v>
      </c>
      <c r="V3">
        <v>2</v>
      </c>
      <c r="W3">
        <v>4</v>
      </c>
      <c r="X3">
        <v>10</v>
      </c>
      <c r="Y3">
        <v>0</v>
      </c>
      <c r="Z3">
        <v>750</v>
      </c>
      <c r="AA3">
        <v>0</v>
      </c>
      <c r="AB3">
        <f>Table1[[#This Row],[Kick Power 50bmg]]*Table1[[#This Row],[RPM]]</f>
        <v>5000</v>
      </c>
      <c r="AC3">
        <v>234</v>
      </c>
      <c r="AD3">
        <f>(Table1[[#This Row],[Accurate RPM]]-Table1[[#This Row],[RPM]])/Table1[[#This Row],[RPM]]</f>
        <v>-0.53200000000000003</v>
      </c>
    </row>
    <row r="4" spans="1:30" x14ac:dyDescent="0.25">
      <c r="A4" t="s">
        <v>56</v>
      </c>
      <c r="B4" t="s">
        <v>22</v>
      </c>
      <c r="C4">
        <v>300</v>
      </c>
      <c r="D4">
        <v>1800</v>
      </c>
      <c r="E4" t="s">
        <v>49</v>
      </c>
      <c r="F4">
        <v>960</v>
      </c>
      <c r="G4">
        <v>45</v>
      </c>
      <c r="H4">
        <v>3</v>
      </c>
      <c r="I4" t="s">
        <v>58</v>
      </c>
      <c r="J4">
        <v>30</v>
      </c>
      <c r="K4">
        <v>10</v>
      </c>
      <c r="L4">
        <v>2</v>
      </c>
      <c r="M4">
        <v>10</v>
      </c>
      <c r="N4">
        <v>8</v>
      </c>
      <c r="O4" t="s">
        <v>65</v>
      </c>
      <c r="P4">
        <v>6</v>
      </c>
      <c r="Q4">
        <f>Table1[[#This Row],[Damage Mult]]*Table1[[#This Row],[RPM]]</f>
        <v>270</v>
      </c>
      <c r="R4">
        <f>Table1[[#This Row],[Durability]]/Table1[[#This Row],[RPM]]</f>
        <v>40</v>
      </c>
      <c r="T4">
        <v>5</v>
      </c>
      <c r="U4">
        <v>30</v>
      </c>
      <c r="V4">
        <v>15</v>
      </c>
      <c r="W4">
        <v>20</v>
      </c>
      <c r="X4">
        <v>30</v>
      </c>
      <c r="Y4">
        <v>0</v>
      </c>
      <c r="Z4">
        <v>500</v>
      </c>
      <c r="AA4">
        <v>2.5000000000000001E-3</v>
      </c>
      <c r="AB4">
        <f>Table1[[#This Row],[Kick Power 50bmg]]*Table1[[#This Row],[RPM]]</f>
        <v>1350</v>
      </c>
      <c r="AC4">
        <v>45</v>
      </c>
      <c r="AD4">
        <f>(Table1[[#This Row],[Accurate RPM]]-Table1[[#This Row],[RPM]])/Table1[[#This Row],[RPM]]</f>
        <v>0</v>
      </c>
    </row>
    <row r="5" spans="1:30" x14ac:dyDescent="0.25">
      <c r="A5" t="s">
        <v>59</v>
      </c>
      <c r="B5" t="s">
        <v>48</v>
      </c>
      <c r="C5">
        <v>1500</v>
      </c>
      <c r="D5">
        <v>1800</v>
      </c>
      <c r="E5" t="s">
        <v>30</v>
      </c>
      <c r="F5">
        <v>450</v>
      </c>
      <c r="G5">
        <v>500</v>
      </c>
      <c r="H5">
        <v>6</v>
      </c>
      <c r="I5" t="s">
        <v>58</v>
      </c>
      <c r="J5">
        <v>0</v>
      </c>
      <c r="K5">
        <v>4</v>
      </c>
      <c r="L5" t="s">
        <v>121</v>
      </c>
      <c r="M5">
        <v>4</v>
      </c>
      <c r="N5">
        <v>16</v>
      </c>
      <c r="O5" t="s">
        <v>65</v>
      </c>
      <c r="P5">
        <v>9</v>
      </c>
      <c r="Q5">
        <f>Table1[[#This Row],[Damage Mult]]*Table1[[#This Row],[RPM]]</f>
        <v>4500</v>
      </c>
      <c r="R5">
        <f>Table1[[#This Row],[Durability]]/Table1[[#This Row],[RPM]]</f>
        <v>3.6</v>
      </c>
      <c r="T5">
        <v>0.6</v>
      </c>
      <c r="U5">
        <v>1.1000000000000001</v>
      </c>
      <c r="V5">
        <v>0.35</v>
      </c>
      <c r="W5">
        <v>0.8</v>
      </c>
      <c r="X5">
        <v>1.4</v>
      </c>
      <c r="Y5">
        <v>0</v>
      </c>
      <c r="Z5">
        <v>750</v>
      </c>
      <c r="AA5">
        <v>0</v>
      </c>
      <c r="AB5">
        <f>Table1[[#This Row],[Kick Power 50bmg]]*Table1[[#This Row],[RPM]]</f>
        <v>700</v>
      </c>
      <c r="AC5">
        <v>250</v>
      </c>
      <c r="AD5">
        <f>(Table1[[#This Row],[Accurate RPM]]-Table1[[#This Row],[RPM]])/Table1[[#This Row],[RPM]]</f>
        <v>-0.5</v>
      </c>
    </row>
    <row r="6" spans="1:30" x14ac:dyDescent="0.25">
      <c r="A6" t="s">
        <v>20</v>
      </c>
      <c r="B6" t="s">
        <v>13</v>
      </c>
      <c r="C6">
        <v>900</v>
      </c>
      <c r="D6">
        <v>2250</v>
      </c>
      <c r="E6" t="s">
        <v>14</v>
      </c>
      <c r="F6">
        <v>60</v>
      </c>
      <c r="G6">
        <v>800</v>
      </c>
      <c r="H6">
        <v>26</v>
      </c>
      <c r="I6" t="s">
        <v>15</v>
      </c>
      <c r="J6">
        <v>3</v>
      </c>
      <c r="K6">
        <v>3</v>
      </c>
      <c r="L6">
        <v>3</v>
      </c>
      <c r="M6">
        <v>6</v>
      </c>
      <c r="N6">
        <v>8</v>
      </c>
      <c r="O6" t="s">
        <v>45</v>
      </c>
      <c r="P6">
        <v>1</v>
      </c>
      <c r="Q6">
        <f>Table1[[#This Row],[Damage Mult]]*Table1[[#This Row],[RPM]]</f>
        <v>800</v>
      </c>
      <c r="R6">
        <f>Table1[[#This Row],[Durability]]/Table1[[#This Row],[RPM]]</f>
        <v>2.8125</v>
      </c>
      <c r="T6">
        <v>3</v>
      </c>
      <c r="U6">
        <v>17</v>
      </c>
      <c r="V6">
        <v>5</v>
      </c>
      <c r="W6">
        <v>6</v>
      </c>
      <c r="X6">
        <v>17</v>
      </c>
      <c r="Y6">
        <v>0</v>
      </c>
      <c r="Z6">
        <v>750</v>
      </c>
      <c r="AA6">
        <v>0.08</v>
      </c>
      <c r="AB6">
        <f>Table1[[#This Row],[Kick Power 50bmg]]*Table1[[#This Row],[RPM]]</f>
        <v>13600</v>
      </c>
      <c r="AC6">
        <v>800</v>
      </c>
      <c r="AD6">
        <f>(Table1[[#This Row],[Accurate RPM]]-Table1[[#This Row],[RPM]])/Table1[[#This Row],[RPM]]</f>
        <v>0</v>
      </c>
    </row>
    <row r="7" spans="1:30" x14ac:dyDescent="0.25">
      <c r="A7" t="s">
        <v>47</v>
      </c>
      <c r="B7" t="s">
        <v>48</v>
      </c>
      <c r="C7">
        <v>950</v>
      </c>
      <c r="D7">
        <v>1200</v>
      </c>
      <c r="E7" t="s">
        <v>49</v>
      </c>
      <c r="F7">
        <v>320</v>
      </c>
      <c r="G7">
        <v>60</v>
      </c>
      <c r="H7">
        <v>8</v>
      </c>
      <c r="I7" t="s">
        <v>52</v>
      </c>
      <c r="J7">
        <v>20</v>
      </c>
      <c r="K7">
        <v>10</v>
      </c>
      <c r="L7">
        <v>2</v>
      </c>
      <c r="M7">
        <v>10</v>
      </c>
      <c r="N7">
        <v>35</v>
      </c>
      <c r="O7" t="s">
        <v>65</v>
      </c>
      <c r="P7">
        <v>2</v>
      </c>
      <c r="Q7">
        <f>Table1[[#This Row],[Damage Mult]]*Table1[[#This Row],[RPM]]</f>
        <v>120</v>
      </c>
      <c r="R7">
        <f>Table1[[#This Row],[Durability]]/Table1[[#This Row],[RPM]]</f>
        <v>20</v>
      </c>
      <c r="T7">
        <v>3</v>
      </c>
      <c r="U7">
        <v>20</v>
      </c>
      <c r="V7">
        <v>8</v>
      </c>
      <c r="W7">
        <v>10</v>
      </c>
      <c r="X7">
        <v>20</v>
      </c>
      <c r="Y7">
        <v>0</v>
      </c>
      <c r="Z7">
        <v>600</v>
      </c>
      <c r="AA7">
        <v>0.3</v>
      </c>
      <c r="AB7">
        <f>Table1[[#This Row],[Kick Power 50bmg]]*Table1[[#This Row],[RPM]]</f>
        <v>1200</v>
      </c>
      <c r="AC7" t="s">
        <v>135</v>
      </c>
      <c r="AD7" t="e">
        <f>(Table1[[#This Row],[Accurate RPM]]-Table1[[#This Row],[RPM]])/Table1[[#This Row],[RPM]]</f>
        <v>#VALUE!</v>
      </c>
    </row>
    <row r="8" spans="1:30" x14ac:dyDescent="0.25">
      <c r="A8" t="s">
        <v>24</v>
      </c>
      <c r="B8" t="s">
        <v>22</v>
      </c>
      <c r="C8">
        <v>750</v>
      </c>
      <c r="D8">
        <v>2500</v>
      </c>
      <c r="E8" t="s">
        <v>14</v>
      </c>
      <c r="F8">
        <v>90</v>
      </c>
      <c r="G8">
        <v>80</v>
      </c>
      <c r="H8">
        <v>10</v>
      </c>
      <c r="I8" t="s">
        <v>25</v>
      </c>
      <c r="J8">
        <v>4</v>
      </c>
      <c r="K8">
        <v>2</v>
      </c>
      <c r="L8">
        <v>2</v>
      </c>
      <c r="M8">
        <v>5</v>
      </c>
      <c r="N8">
        <v>5</v>
      </c>
      <c r="O8" t="s">
        <v>45</v>
      </c>
      <c r="P8">
        <v>1.5</v>
      </c>
      <c r="Q8">
        <f>Table1[[#This Row],[Damage Mult]]*Table1[[#This Row],[RPM]]</f>
        <v>120</v>
      </c>
      <c r="R8">
        <f>Table1[[#This Row],[Durability]]/Table1[[#This Row],[RPM]]</f>
        <v>31.25</v>
      </c>
      <c r="T8">
        <v>4</v>
      </c>
      <c r="U8">
        <v>30</v>
      </c>
      <c r="V8">
        <v>8</v>
      </c>
      <c r="W8">
        <v>20</v>
      </c>
      <c r="X8">
        <v>35</v>
      </c>
      <c r="Y8">
        <v>0</v>
      </c>
      <c r="Z8">
        <v>750</v>
      </c>
      <c r="AA8">
        <v>0.25</v>
      </c>
      <c r="AB8">
        <f>Table1[[#This Row],[Kick Power 50bmg]]*Table1[[#This Row],[RPM]]</f>
        <v>2800</v>
      </c>
      <c r="AC8">
        <v>50</v>
      </c>
      <c r="AD8">
        <f>(Table1[[#This Row],[Accurate RPM]]-Table1[[#This Row],[RPM]])/Table1[[#This Row],[RPM]]</f>
        <v>-0.375</v>
      </c>
    </row>
    <row r="9" spans="1:30" x14ac:dyDescent="0.25">
      <c r="A9" t="s">
        <v>79</v>
      </c>
      <c r="B9" t="s">
        <v>22</v>
      </c>
      <c r="C9">
        <v>4000</v>
      </c>
      <c r="D9">
        <v>3300</v>
      </c>
      <c r="E9" t="s">
        <v>30</v>
      </c>
      <c r="F9">
        <v>60</v>
      </c>
      <c r="G9">
        <v>893</v>
      </c>
      <c r="H9">
        <v>30</v>
      </c>
      <c r="I9" t="s">
        <v>63</v>
      </c>
      <c r="J9">
        <v>0</v>
      </c>
      <c r="K9">
        <v>2.5</v>
      </c>
      <c r="L9">
        <v>2.5</v>
      </c>
      <c r="M9" t="s">
        <v>121</v>
      </c>
      <c r="N9">
        <v>8</v>
      </c>
      <c r="O9" t="s">
        <v>86</v>
      </c>
      <c r="P9">
        <v>1.2</v>
      </c>
      <c r="Q9">
        <f>Table1[[#This Row],[Damage Mult]]*Table1[[#This Row],[RPM]]</f>
        <v>1071.5999999999999</v>
      </c>
      <c r="R9">
        <f>Table1[[#This Row],[Durability]]/Table1[[#This Row],[RPM]]</f>
        <v>3.6954087346024638</v>
      </c>
      <c r="T9">
        <v>0.1</v>
      </c>
      <c r="U9">
        <v>1.1000000000000001</v>
      </c>
      <c r="V9">
        <v>0.35</v>
      </c>
      <c r="W9">
        <v>0.8</v>
      </c>
      <c r="X9">
        <v>1.4</v>
      </c>
      <c r="Y9">
        <v>0</v>
      </c>
      <c r="Z9">
        <v>750</v>
      </c>
      <c r="AA9">
        <v>0</v>
      </c>
      <c r="AB9">
        <f>Table1[[#This Row],[Kick Power 50bmg]]*Table1[[#This Row],[RPM]]</f>
        <v>1250.1999999999998</v>
      </c>
      <c r="AC9">
        <v>893</v>
      </c>
      <c r="AD9">
        <f>(Table1[[#This Row],[Accurate RPM]]-Table1[[#This Row],[RPM]])/Table1[[#This Row],[RPM]]</f>
        <v>0</v>
      </c>
    </row>
    <row r="10" spans="1:30" x14ac:dyDescent="0.25">
      <c r="A10" t="s">
        <v>32</v>
      </c>
      <c r="B10" t="s">
        <v>13</v>
      </c>
      <c r="C10">
        <v>2000</v>
      </c>
      <c r="D10">
        <v>2700</v>
      </c>
      <c r="E10" t="s">
        <v>14</v>
      </c>
      <c r="F10">
        <v>60</v>
      </c>
      <c r="G10">
        <v>400</v>
      </c>
      <c r="H10">
        <v>30</v>
      </c>
      <c r="I10" t="s">
        <v>33</v>
      </c>
      <c r="J10">
        <v>1</v>
      </c>
      <c r="K10">
        <v>3</v>
      </c>
      <c r="L10">
        <v>3</v>
      </c>
      <c r="M10">
        <v>8</v>
      </c>
      <c r="N10">
        <v>5</v>
      </c>
      <c r="O10" t="s">
        <v>45</v>
      </c>
      <c r="P10">
        <v>1</v>
      </c>
      <c r="Q10">
        <f>Table1[[#This Row],[Damage Mult]]*Table1[[#This Row],[RPM]]</f>
        <v>400</v>
      </c>
      <c r="R10">
        <f>Table1[[#This Row],[Durability]]/Table1[[#This Row],[RPM]]</f>
        <v>6.75</v>
      </c>
      <c r="T10">
        <v>1</v>
      </c>
      <c r="U10">
        <v>20</v>
      </c>
      <c r="V10">
        <v>5</v>
      </c>
      <c r="W10">
        <v>8</v>
      </c>
      <c r="X10">
        <v>20</v>
      </c>
      <c r="Y10">
        <v>0</v>
      </c>
      <c r="Z10">
        <v>750</v>
      </c>
      <c r="AA10">
        <v>0.08</v>
      </c>
      <c r="AB10">
        <f>Table1[[#This Row],[Kick Power 50bmg]]*Table1[[#This Row],[RPM]]</f>
        <v>8000</v>
      </c>
      <c r="AC10">
        <v>186</v>
      </c>
      <c r="AD10">
        <f>(Table1[[#This Row],[Accurate RPM]]-Table1[[#This Row],[RPM]])/Table1[[#This Row],[RPM]]</f>
        <v>-0.53500000000000003</v>
      </c>
    </row>
    <row r="11" spans="1:30" x14ac:dyDescent="0.25">
      <c r="A11" t="s">
        <v>94</v>
      </c>
      <c r="B11" t="s">
        <v>48</v>
      </c>
      <c r="C11">
        <v>1750</v>
      </c>
      <c r="D11">
        <v>3200</v>
      </c>
      <c r="E11" t="s">
        <v>23</v>
      </c>
      <c r="F11">
        <v>120</v>
      </c>
      <c r="G11">
        <v>400</v>
      </c>
      <c r="H11">
        <v>20</v>
      </c>
      <c r="I11" t="s">
        <v>63</v>
      </c>
      <c r="J11">
        <v>3</v>
      </c>
      <c r="K11">
        <v>3</v>
      </c>
      <c r="L11">
        <v>3</v>
      </c>
      <c r="M11">
        <v>7</v>
      </c>
      <c r="N11">
        <v>35</v>
      </c>
      <c r="O11" t="s">
        <v>95</v>
      </c>
      <c r="P11">
        <v>1.2</v>
      </c>
      <c r="Q11">
        <f>Table1[[#This Row],[Damage Mult]]*Table1[[#This Row],[RPM]]</f>
        <v>480</v>
      </c>
      <c r="R11">
        <f>Table1[[#This Row],[Durability]]/Table1[[#This Row],[RPM]]</f>
        <v>8</v>
      </c>
      <c r="T11">
        <v>0.5</v>
      </c>
      <c r="U11">
        <v>8</v>
      </c>
      <c r="V11">
        <v>2</v>
      </c>
      <c r="W11">
        <v>3</v>
      </c>
      <c r="X11">
        <v>8</v>
      </c>
      <c r="Y11">
        <v>0</v>
      </c>
      <c r="Z11">
        <v>800</v>
      </c>
      <c r="AA11">
        <v>0.625</v>
      </c>
      <c r="AB11">
        <f>Table1[[#This Row],[Kick Power 50bmg]]*Table1[[#This Row],[RPM]]</f>
        <v>3200</v>
      </c>
      <c r="AC11">
        <v>352</v>
      </c>
      <c r="AD11">
        <f>(Table1[[#This Row],[Accurate RPM]]-Table1[[#This Row],[RPM]])/Table1[[#This Row],[RPM]]</f>
        <v>-0.12</v>
      </c>
    </row>
    <row r="12" spans="1:30" x14ac:dyDescent="0.25">
      <c r="A12" t="s">
        <v>77</v>
      </c>
      <c r="B12" t="s">
        <v>22</v>
      </c>
      <c r="C12">
        <v>2000</v>
      </c>
      <c r="D12">
        <v>3200</v>
      </c>
      <c r="E12" t="s">
        <v>19</v>
      </c>
      <c r="F12">
        <v>96</v>
      </c>
      <c r="G12">
        <v>666</v>
      </c>
      <c r="H12">
        <v>30</v>
      </c>
      <c r="I12" t="s">
        <v>63</v>
      </c>
      <c r="J12">
        <v>3</v>
      </c>
      <c r="K12">
        <v>2.5</v>
      </c>
      <c r="L12">
        <v>2.5</v>
      </c>
      <c r="M12">
        <v>6</v>
      </c>
      <c r="N12">
        <v>16</v>
      </c>
      <c r="O12" t="s">
        <v>86</v>
      </c>
      <c r="P12">
        <v>1.2</v>
      </c>
      <c r="Q12">
        <f>Table1[[#This Row],[Damage Mult]]*Table1[[#This Row],[RPM]]</f>
        <v>799.19999999999993</v>
      </c>
      <c r="R12">
        <f>Table1[[#This Row],[Durability]]/Table1[[#This Row],[RPM]]</f>
        <v>4.8048048048048049</v>
      </c>
      <c r="T12">
        <v>1</v>
      </c>
      <c r="U12">
        <v>12</v>
      </c>
      <c r="V12">
        <v>3</v>
      </c>
      <c r="W12">
        <v>5</v>
      </c>
      <c r="X12">
        <v>12</v>
      </c>
      <c r="Y12">
        <v>0</v>
      </c>
      <c r="Z12">
        <v>900</v>
      </c>
      <c r="AA12">
        <v>0.25</v>
      </c>
      <c r="AB12">
        <f>Table1[[#This Row],[Kick Power 50bmg]]*Table1[[#This Row],[RPM]]</f>
        <v>7992</v>
      </c>
      <c r="AC12">
        <v>666</v>
      </c>
      <c r="AD12">
        <f>(Table1[[#This Row],[Accurate RPM]]-Table1[[#This Row],[RPM]])/Table1[[#This Row],[RPM]]</f>
        <v>0</v>
      </c>
    </row>
    <row r="13" spans="1:30" x14ac:dyDescent="0.25">
      <c r="A13" t="s">
        <v>108</v>
      </c>
      <c r="B13" t="s">
        <v>106</v>
      </c>
      <c r="C13">
        <v>1600</v>
      </c>
      <c r="D13">
        <v>4000</v>
      </c>
      <c r="E13" t="s">
        <v>30</v>
      </c>
      <c r="F13">
        <v>500</v>
      </c>
      <c r="G13">
        <v>100</v>
      </c>
      <c r="H13">
        <v>1</v>
      </c>
      <c r="I13" t="s">
        <v>58</v>
      </c>
      <c r="J13">
        <v>0</v>
      </c>
      <c r="K13">
        <v>1.5</v>
      </c>
      <c r="L13">
        <v>1.5</v>
      </c>
      <c r="M13" t="s">
        <v>121</v>
      </c>
      <c r="N13">
        <v>16</v>
      </c>
      <c r="O13" t="s">
        <v>115</v>
      </c>
      <c r="P13">
        <v>10</v>
      </c>
      <c r="Q13">
        <f>Table1[[#This Row],[Damage Mult]]*Table1[[#This Row],[RPM]]</f>
        <v>1000</v>
      </c>
      <c r="R13">
        <f>Table1[[#This Row],[Durability]]/Table1[[#This Row],[RPM]]</f>
        <v>40</v>
      </c>
      <c r="T13">
        <v>0.1</v>
      </c>
      <c r="U13" s="1">
        <v>1.1000000000000001</v>
      </c>
      <c r="V13">
        <v>0.35</v>
      </c>
      <c r="W13">
        <v>0.8</v>
      </c>
      <c r="X13">
        <v>1.4</v>
      </c>
      <c r="Y13">
        <v>0.1</v>
      </c>
      <c r="Z13">
        <v>750</v>
      </c>
      <c r="AA13">
        <v>0.2</v>
      </c>
      <c r="AB13">
        <f>Table1[[#This Row],[Kick Power 50bmg]]*Table1[[#This Row],[RPM]]</f>
        <v>140</v>
      </c>
      <c r="AC13">
        <v>41</v>
      </c>
      <c r="AD13">
        <f>(Table1[[#This Row],[Accurate RPM]]-Table1[[#This Row],[RPM]])/Table1[[#This Row],[RPM]]</f>
        <v>-0.59</v>
      </c>
    </row>
    <row r="14" spans="1:30" x14ac:dyDescent="0.25">
      <c r="A14" t="s">
        <v>73</v>
      </c>
      <c r="B14" t="s">
        <v>22</v>
      </c>
      <c r="C14">
        <v>1600</v>
      </c>
      <c r="D14">
        <v>3600</v>
      </c>
      <c r="E14" t="s">
        <v>19</v>
      </c>
      <c r="F14">
        <v>80</v>
      </c>
      <c r="G14">
        <v>450</v>
      </c>
      <c r="H14">
        <v>15</v>
      </c>
      <c r="I14" t="s">
        <v>15</v>
      </c>
      <c r="J14">
        <v>2.5</v>
      </c>
      <c r="K14">
        <v>2</v>
      </c>
      <c r="L14">
        <v>2</v>
      </c>
      <c r="M14">
        <v>6</v>
      </c>
      <c r="N14">
        <v>8</v>
      </c>
      <c r="O14" t="s">
        <v>76</v>
      </c>
      <c r="P14">
        <v>1</v>
      </c>
      <c r="Q14">
        <f>Table1[[#This Row],[Damage Mult]]*Table1[[#This Row],[RPM]]</f>
        <v>450</v>
      </c>
      <c r="R14">
        <f>Table1[[#This Row],[Durability]]/Table1[[#This Row],[RPM]]</f>
        <v>8</v>
      </c>
      <c r="T14">
        <v>1.5</v>
      </c>
      <c r="U14">
        <v>16</v>
      </c>
      <c r="V14">
        <v>2.5</v>
      </c>
      <c r="W14">
        <v>4</v>
      </c>
      <c r="X14">
        <v>12</v>
      </c>
      <c r="Y14">
        <v>0</v>
      </c>
      <c r="Z14">
        <v>750</v>
      </c>
      <c r="AA14">
        <v>0</v>
      </c>
      <c r="AB14">
        <f>Table1[[#This Row],[Kick Power 50bmg]]*Table1[[#This Row],[RPM]]</f>
        <v>5400</v>
      </c>
      <c r="AC14">
        <v>450</v>
      </c>
      <c r="AD14">
        <f>(Table1[[#This Row],[Accurate RPM]]-Table1[[#This Row],[RPM]])/Table1[[#This Row],[RPM]]</f>
        <v>0</v>
      </c>
    </row>
    <row r="15" spans="1:30" x14ac:dyDescent="0.25">
      <c r="A15" t="s">
        <v>105</v>
      </c>
      <c r="B15" t="s">
        <v>106</v>
      </c>
      <c r="C15">
        <v>1600</v>
      </c>
      <c r="D15">
        <v>1000</v>
      </c>
      <c r="E15" t="s">
        <v>70</v>
      </c>
      <c r="F15">
        <v>500</v>
      </c>
      <c r="G15">
        <v>100</v>
      </c>
      <c r="H15">
        <v>5</v>
      </c>
      <c r="I15" t="s">
        <v>107</v>
      </c>
      <c r="J15">
        <v>8</v>
      </c>
      <c r="K15">
        <v>1.5</v>
      </c>
      <c r="L15">
        <v>1.5</v>
      </c>
      <c r="M15">
        <v>6</v>
      </c>
      <c r="N15">
        <v>16</v>
      </c>
      <c r="O15" t="s">
        <v>115</v>
      </c>
      <c r="P15">
        <v>2.5</v>
      </c>
      <c r="Q15">
        <f>Table1[[#This Row],[Damage Mult]]*Table1[[#This Row],[RPM]]</f>
        <v>250</v>
      </c>
      <c r="R15">
        <f>Table1[[#This Row],[Durability]]/Table1[[#This Row],[RPM]]</f>
        <v>10</v>
      </c>
      <c r="T15">
        <v>0</v>
      </c>
      <c r="U15">
        <v>8</v>
      </c>
      <c r="V15">
        <v>2</v>
      </c>
      <c r="W15">
        <v>5</v>
      </c>
      <c r="X15">
        <v>8</v>
      </c>
      <c r="Y15">
        <v>0</v>
      </c>
      <c r="Z15">
        <v>750</v>
      </c>
      <c r="AA15">
        <v>0.2</v>
      </c>
      <c r="AB15">
        <f>Table1[[#This Row],[Kick Power 50bmg]]*Table1[[#This Row],[RPM]]</f>
        <v>800</v>
      </c>
      <c r="AC15">
        <v>23</v>
      </c>
      <c r="AD15">
        <f>(Table1[[#This Row],[Accurate RPM]]-Table1[[#This Row],[RPM]])/Table1[[#This Row],[RPM]]</f>
        <v>-0.77</v>
      </c>
    </row>
    <row r="16" spans="1:30" x14ac:dyDescent="0.25">
      <c r="A16" t="s">
        <v>66</v>
      </c>
      <c r="B16" t="s">
        <v>13</v>
      </c>
      <c r="C16">
        <v>250</v>
      </c>
      <c r="D16">
        <v>3300</v>
      </c>
      <c r="E16" t="s">
        <v>14</v>
      </c>
      <c r="F16">
        <v>60</v>
      </c>
      <c r="G16">
        <v>350</v>
      </c>
      <c r="H16">
        <v>20</v>
      </c>
      <c r="I16" t="s">
        <v>63</v>
      </c>
      <c r="J16">
        <v>2</v>
      </c>
      <c r="K16">
        <v>3</v>
      </c>
      <c r="L16">
        <v>3</v>
      </c>
      <c r="M16">
        <v>6</v>
      </c>
      <c r="N16">
        <v>8</v>
      </c>
      <c r="O16" t="s">
        <v>76</v>
      </c>
      <c r="P16">
        <v>1</v>
      </c>
      <c r="Q16">
        <f>Table1[[#This Row],[Damage Mult]]*Table1[[#This Row],[RPM]]</f>
        <v>350</v>
      </c>
      <c r="R16">
        <f>Table1[[#This Row],[Durability]]/Table1[[#This Row],[RPM]]</f>
        <v>9.4285714285714288</v>
      </c>
      <c r="T16">
        <v>2</v>
      </c>
      <c r="U16">
        <v>20</v>
      </c>
      <c r="V16">
        <v>5</v>
      </c>
      <c r="W16">
        <v>10</v>
      </c>
      <c r="X16">
        <v>20</v>
      </c>
      <c r="Y16">
        <v>0</v>
      </c>
      <c r="Z16">
        <v>525</v>
      </c>
      <c r="AA16">
        <v>0</v>
      </c>
      <c r="AB16">
        <f>Table1[[#This Row],[Kick Power 50bmg]]*Table1[[#This Row],[RPM]]</f>
        <v>7000</v>
      </c>
      <c r="AC16">
        <v>350</v>
      </c>
      <c r="AD16">
        <f>(Table1[[#This Row],[Accurate RPM]]-Table1[[#This Row],[RPM]])/Table1[[#This Row],[RPM]]</f>
        <v>0</v>
      </c>
    </row>
    <row r="17" spans="1:30" x14ac:dyDescent="0.25">
      <c r="A17" t="s">
        <v>88</v>
      </c>
      <c r="B17" t="s">
        <v>48</v>
      </c>
      <c r="C17">
        <v>4000</v>
      </c>
      <c r="D17">
        <v>2500</v>
      </c>
      <c r="E17" t="s">
        <v>23</v>
      </c>
      <c r="F17">
        <v>100</v>
      </c>
      <c r="G17">
        <v>1400</v>
      </c>
      <c r="H17">
        <v>40</v>
      </c>
      <c r="I17" t="s">
        <v>63</v>
      </c>
      <c r="J17">
        <v>2</v>
      </c>
      <c r="K17">
        <v>4</v>
      </c>
      <c r="L17">
        <v>4</v>
      </c>
      <c r="M17">
        <v>7</v>
      </c>
      <c r="N17">
        <v>16</v>
      </c>
      <c r="O17" t="s">
        <v>95</v>
      </c>
      <c r="P17">
        <v>1</v>
      </c>
      <c r="Q17">
        <f>Table1[[#This Row],[Damage Mult]]*Table1[[#This Row],[RPM]]</f>
        <v>1400</v>
      </c>
      <c r="R17">
        <f>Table1[[#This Row],[Durability]]/Table1[[#This Row],[RPM]]</f>
        <v>1.7857142857142858</v>
      </c>
      <c r="T17">
        <v>0</v>
      </c>
      <c r="U17">
        <v>7</v>
      </c>
      <c r="V17">
        <v>1</v>
      </c>
      <c r="W17">
        <v>2</v>
      </c>
      <c r="X17">
        <v>7</v>
      </c>
      <c r="Y17">
        <v>0</v>
      </c>
      <c r="Z17">
        <v>750</v>
      </c>
      <c r="AA17">
        <v>0.2</v>
      </c>
      <c r="AB17">
        <f>Table1[[#This Row],[Kick Power 50bmg]]*Table1[[#This Row],[RPM]]</f>
        <v>9800</v>
      </c>
      <c r="AC17">
        <v>1400</v>
      </c>
      <c r="AD17">
        <f>(Table1[[#This Row],[Accurate RPM]]-Table1[[#This Row],[RPM]])/Table1[[#This Row],[RPM]]</f>
        <v>0</v>
      </c>
    </row>
    <row r="18" spans="1:30" x14ac:dyDescent="0.25">
      <c r="A18" t="s">
        <v>101</v>
      </c>
      <c r="B18" t="s">
        <v>13</v>
      </c>
      <c r="C18">
        <v>2750</v>
      </c>
      <c r="D18">
        <v>2000</v>
      </c>
      <c r="E18" t="s">
        <v>19</v>
      </c>
      <c r="F18">
        <v>176</v>
      </c>
      <c r="G18">
        <v>450</v>
      </c>
      <c r="H18">
        <v>8</v>
      </c>
      <c r="I18" t="s">
        <v>15</v>
      </c>
      <c r="J18">
        <v>2.5</v>
      </c>
      <c r="K18">
        <v>2</v>
      </c>
      <c r="L18">
        <v>2</v>
      </c>
      <c r="M18">
        <v>6</v>
      </c>
      <c r="N18">
        <v>16</v>
      </c>
      <c r="O18" t="s">
        <v>102</v>
      </c>
      <c r="P18">
        <v>2.2000000000000002</v>
      </c>
      <c r="Q18">
        <f>Table1[[#This Row],[Damage Mult]]*Table1[[#This Row],[RPM]]</f>
        <v>990.00000000000011</v>
      </c>
      <c r="R18">
        <f>Table1[[#This Row],[Durability]]/Table1[[#This Row],[RPM]]</f>
        <v>4.4444444444444446</v>
      </c>
      <c r="S18">
        <v>3.25</v>
      </c>
      <c r="T18">
        <v>1.5</v>
      </c>
      <c r="U18">
        <v>16</v>
      </c>
      <c r="V18">
        <v>2.5</v>
      </c>
      <c r="W18">
        <v>4</v>
      </c>
      <c r="X18">
        <v>12</v>
      </c>
      <c r="Y18">
        <v>0</v>
      </c>
      <c r="Z18">
        <v>750</v>
      </c>
      <c r="AA18">
        <v>0</v>
      </c>
      <c r="AB18">
        <f>Table1[[#This Row],[Kick Power 50bmg]]*Table1[[#This Row],[RPM]]</f>
        <v>5400</v>
      </c>
      <c r="AC18">
        <v>270</v>
      </c>
      <c r="AD18">
        <f>(Table1[[#This Row],[Accurate RPM]]-Table1[[#This Row],[RPM]])/Table1[[#This Row],[RPM]]</f>
        <v>-0.4</v>
      </c>
    </row>
    <row r="19" spans="1:30" x14ac:dyDescent="0.25">
      <c r="A19" t="s">
        <v>69</v>
      </c>
      <c r="B19" t="s">
        <v>22</v>
      </c>
      <c r="C19">
        <v>4500</v>
      </c>
      <c r="D19">
        <v>2000</v>
      </c>
      <c r="E19" t="s">
        <v>70</v>
      </c>
      <c r="F19">
        <v>300</v>
      </c>
      <c r="G19">
        <v>580</v>
      </c>
      <c r="H19">
        <v>20</v>
      </c>
      <c r="I19" t="s">
        <v>63</v>
      </c>
      <c r="J19">
        <v>12</v>
      </c>
      <c r="K19">
        <v>2</v>
      </c>
      <c r="L19">
        <v>2</v>
      </c>
      <c r="M19">
        <v>5</v>
      </c>
      <c r="N19">
        <v>16</v>
      </c>
      <c r="O19" t="s">
        <v>76</v>
      </c>
      <c r="P19">
        <v>1.5</v>
      </c>
      <c r="Q19">
        <f>Table1[[#This Row],[Damage Mult]]*Table1[[#This Row],[RPM]]</f>
        <v>870</v>
      </c>
      <c r="R19">
        <f>Table1[[#This Row],[Durability]]/Table1[[#This Row],[RPM]]</f>
        <v>3.4482758620689653</v>
      </c>
      <c r="T19">
        <v>2</v>
      </c>
      <c r="U19">
        <v>12</v>
      </c>
      <c r="V19">
        <v>4</v>
      </c>
      <c r="W19">
        <v>5</v>
      </c>
      <c r="X19">
        <v>12</v>
      </c>
      <c r="Y19">
        <v>0</v>
      </c>
      <c r="Z19">
        <v>750</v>
      </c>
      <c r="AA19">
        <v>0.2</v>
      </c>
      <c r="AB19">
        <f>Table1[[#This Row],[Kick Power 50bmg]]*Table1[[#This Row],[RPM]]</f>
        <v>6960</v>
      </c>
      <c r="AC19">
        <v>580</v>
      </c>
      <c r="AD19">
        <f>(Table1[[#This Row],[Accurate RPM]]-Table1[[#This Row],[RPM]])/Table1[[#This Row],[RPM]]</f>
        <v>0</v>
      </c>
    </row>
    <row r="20" spans="1:30" x14ac:dyDescent="0.25">
      <c r="A20" t="s">
        <v>26</v>
      </c>
      <c r="B20" t="s">
        <v>27</v>
      </c>
      <c r="C20">
        <v>1000</v>
      </c>
      <c r="D20">
        <v>800</v>
      </c>
      <c r="E20" t="s">
        <v>14</v>
      </c>
      <c r="F20">
        <v>60</v>
      </c>
      <c r="G20">
        <v>200</v>
      </c>
      <c r="H20">
        <v>5</v>
      </c>
      <c r="I20" t="s">
        <v>15</v>
      </c>
      <c r="J20">
        <v>10</v>
      </c>
      <c r="K20">
        <v>3</v>
      </c>
      <c r="L20">
        <v>3</v>
      </c>
      <c r="M20">
        <v>6</v>
      </c>
      <c r="N20">
        <v>0</v>
      </c>
      <c r="O20" t="s">
        <v>45</v>
      </c>
      <c r="P20">
        <v>1</v>
      </c>
      <c r="Q20">
        <f>Table1[[#This Row],[Damage Mult]]*Table1[[#This Row],[RPM]]</f>
        <v>200</v>
      </c>
      <c r="R20">
        <f>Table1[[#This Row],[Durability]]/Table1[[#This Row],[RPM]]</f>
        <v>4</v>
      </c>
      <c r="T20">
        <v>10</v>
      </c>
      <c r="U20">
        <v>60</v>
      </c>
      <c r="V20">
        <v>20</v>
      </c>
      <c r="W20">
        <v>30</v>
      </c>
      <c r="X20">
        <v>80</v>
      </c>
      <c r="Y20">
        <v>0</v>
      </c>
      <c r="Z20">
        <v>750</v>
      </c>
      <c r="AA20">
        <v>0</v>
      </c>
      <c r="AB20">
        <f>Table1[[#This Row],[Kick Power 50bmg]]*Table1[[#This Row],[RPM]]</f>
        <v>16000</v>
      </c>
      <c r="AC20">
        <v>200</v>
      </c>
      <c r="AD20">
        <f>(Table1[[#This Row],[Accurate RPM]]-Table1[[#This Row],[RPM]])/Table1[[#This Row],[RPM]]</f>
        <v>0</v>
      </c>
    </row>
    <row r="21" spans="1:30" x14ac:dyDescent="0.25">
      <c r="A21" t="s">
        <v>62</v>
      </c>
      <c r="B21" t="s">
        <v>22</v>
      </c>
      <c r="C21">
        <v>1750</v>
      </c>
      <c r="D21">
        <v>2100</v>
      </c>
      <c r="E21" t="s">
        <v>49</v>
      </c>
      <c r="F21">
        <v>320</v>
      </c>
      <c r="G21">
        <v>470</v>
      </c>
      <c r="H21">
        <v>10</v>
      </c>
      <c r="I21" t="s">
        <v>63</v>
      </c>
      <c r="J21">
        <v>17</v>
      </c>
      <c r="K21">
        <v>7</v>
      </c>
      <c r="L21">
        <v>2.5</v>
      </c>
      <c r="M21">
        <v>7</v>
      </c>
      <c r="N21">
        <v>8</v>
      </c>
      <c r="O21" t="s">
        <v>65</v>
      </c>
      <c r="P21">
        <v>2</v>
      </c>
      <c r="Q21">
        <f>Table1[[#This Row],[Damage Mult]]*Table1[[#This Row],[RPM]]</f>
        <v>940</v>
      </c>
      <c r="R21">
        <f>Table1[[#This Row],[Durability]]/Table1[[#This Row],[RPM]]</f>
        <v>4.4680851063829783</v>
      </c>
      <c r="T21">
        <v>2</v>
      </c>
      <c r="U21">
        <v>17</v>
      </c>
      <c r="V21">
        <v>4</v>
      </c>
      <c r="W21">
        <v>6</v>
      </c>
      <c r="X21">
        <v>17</v>
      </c>
      <c r="Y21">
        <v>0</v>
      </c>
      <c r="Z21">
        <v>750</v>
      </c>
      <c r="AA21">
        <v>0.08</v>
      </c>
      <c r="AB21">
        <f>Table1[[#This Row],[Kick Power 50bmg]]*Table1[[#This Row],[RPM]]</f>
        <v>7990</v>
      </c>
      <c r="AC21">
        <v>470</v>
      </c>
      <c r="AD21">
        <f>(Table1[[#This Row],[Accurate RPM]]-Table1[[#This Row],[RPM]])/Table1[[#This Row],[RPM]]</f>
        <v>0</v>
      </c>
    </row>
    <row r="22" spans="1:30" x14ac:dyDescent="0.25">
      <c r="A22" t="s">
        <v>18</v>
      </c>
      <c r="B22" t="s">
        <v>13</v>
      </c>
      <c r="C22">
        <v>500</v>
      </c>
      <c r="D22">
        <v>3000</v>
      </c>
      <c r="E22" t="s">
        <v>19</v>
      </c>
      <c r="F22">
        <v>80</v>
      </c>
      <c r="G22">
        <v>300</v>
      </c>
      <c r="H22">
        <v>7</v>
      </c>
      <c r="I22" t="s">
        <v>15</v>
      </c>
      <c r="J22">
        <v>4</v>
      </c>
      <c r="K22">
        <v>2</v>
      </c>
      <c r="L22">
        <v>2</v>
      </c>
      <c r="M22">
        <v>6</v>
      </c>
      <c r="N22">
        <v>5</v>
      </c>
      <c r="O22" t="s">
        <v>45</v>
      </c>
      <c r="P22">
        <v>1</v>
      </c>
      <c r="Q22">
        <f>Table1[[#This Row],[Damage Mult]]*Table1[[#This Row],[RPM]]</f>
        <v>300</v>
      </c>
      <c r="R22">
        <f>Table1[[#This Row],[Durability]]/Table1[[#This Row],[RPM]]</f>
        <v>10</v>
      </c>
      <c r="T22">
        <v>3</v>
      </c>
      <c r="U22">
        <v>27</v>
      </c>
      <c r="V22">
        <v>4</v>
      </c>
      <c r="W22">
        <v>9</v>
      </c>
      <c r="X22">
        <v>40</v>
      </c>
      <c r="Y22">
        <v>0</v>
      </c>
      <c r="Z22">
        <v>800</v>
      </c>
      <c r="AA22">
        <v>0.25</v>
      </c>
      <c r="AB22">
        <f>Table1[[#This Row],[Kick Power 50bmg]]*Table1[[#This Row],[RPM]]</f>
        <v>12000</v>
      </c>
      <c r="AC22">
        <v>300</v>
      </c>
      <c r="AD22">
        <f>(Table1[[#This Row],[Accurate RPM]]-Table1[[#This Row],[RPM]])/Table1[[#This Row],[RPM]]</f>
        <v>0</v>
      </c>
    </row>
    <row r="23" spans="1:30" x14ac:dyDescent="0.25">
      <c r="A23" t="s">
        <v>31</v>
      </c>
      <c r="B23" t="s">
        <v>22</v>
      </c>
      <c r="C23">
        <v>1500</v>
      </c>
      <c r="D23">
        <v>2000</v>
      </c>
      <c r="E23" t="s">
        <v>23</v>
      </c>
      <c r="F23">
        <v>100</v>
      </c>
      <c r="G23">
        <v>450</v>
      </c>
      <c r="H23">
        <v>14</v>
      </c>
      <c r="I23" t="s">
        <v>15</v>
      </c>
      <c r="J23">
        <v>12</v>
      </c>
      <c r="K23">
        <v>2.5</v>
      </c>
      <c r="L23">
        <v>2.5</v>
      </c>
      <c r="M23">
        <v>7</v>
      </c>
      <c r="N23">
        <v>5</v>
      </c>
      <c r="O23" t="s">
        <v>45</v>
      </c>
      <c r="P23">
        <v>1.25</v>
      </c>
      <c r="Q23">
        <f>Table1[[#This Row],[Damage Mult]]*Table1[[#This Row],[RPM]]</f>
        <v>562.5</v>
      </c>
      <c r="R23">
        <f>Table1[[#This Row],[Durability]]/Table1[[#This Row],[RPM]]</f>
        <v>4.4444444444444446</v>
      </c>
      <c r="T23">
        <v>1.2</v>
      </c>
      <c r="U23">
        <v>25</v>
      </c>
      <c r="V23">
        <v>5</v>
      </c>
      <c r="W23">
        <v>12</v>
      </c>
      <c r="X23">
        <v>40</v>
      </c>
      <c r="Y23">
        <v>0</v>
      </c>
      <c r="Z23">
        <v>750</v>
      </c>
      <c r="AA23">
        <v>0</v>
      </c>
      <c r="AB23">
        <f>Table1[[#This Row],[Kick Power 50bmg]]*Table1[[#This Row],[RPM]]</f>
        <v>18000</v>
      </c>
      <c r="AC23">
        <v>450</v>
      </c>
      <c r="AD23">
        <f>(Table1[[#This Row],[Accurate RPM]]-Table1[[#This Row],[RPM]])/Table1[[#This Row],[RPM]]</f>
        <v>0</v>
      </c>
    </row>
    <row r="24" spans="1:30" x14ac:dyDescent="0.25">
      <c r="A24" t="s">
        <v>111</v>
      </c>
      <c r="B24" t="s">
        <v>48</v>
      </c>
      <c r="C24">
        <v>1600</v>
      </c>
      <c r="D24">
        <v>2200</v>
      </c>
      <c r="E24" t="s">
        <v>23</v>
      </c>
      <c r="F24">
        <v>400</v>
      </c>
      <c r="G24">
        <v>100</v>
      </c>
      <c r="H24">
        <v>8</v>
      </c>
      <c r="I24" t="s">
        <v>112</v>
      </c>
      <c r="J24">
        <v>20</v>
      </c>
      <c r="K24">
        <v>1</v>
      </c>
      <c r="L24">
        <v>1</v>
      </c>
      <c r="M24">
        <v>2.5</v>
      </c>
      <c r="N24">
        <v>16</v>
      </c>
      <c r="O24" t="s">
        <v>115</v>
      </c>
      <c r="P24">
        <v>4</v>
      </c>
      <c r="Q24">
        <f>Table1[[#This Row],[Damage Mult]]*Table1[[#This Row],[RPM]]</f>
        <v>400</v>
      </c>
      <c r="R24">
        <f>Table1[[#This Row],[Durability]]/Table1[[#This Row],[RPM]]</f>
        <v>22</v>
      </c>
      <c r="T24">
        <v>5</v>
      </c>
      <c r="U24">
        <v>25</v>
      </c>
      <c r="V24">
        <v>10</v>
      </c>
      <c r="W24">
        <v>20</v>
      </c>
      <c r="X24">
        <v>30</v>
      </c>
      <c r="Y24">
        <v>0</v>
      </c>
      <c r="Z24">
        <v>750</v>
      </c>
      <c r="AA24">
        <v>0.2</v>
      </c>
      <c r="AB24">
        <f>Table1[[#This Row],[Kick Power 50bmg]]*Table1[[#This Row],[RPM]]</f>
        <v>3000</v>
      </c>
      <c r="AC24">
        <v>23</v>
      </c>
      <c r="AD24">
        <f>(Table1[[#This Row],[Accurate RPM]]-Table1[[#This Row],[RPM]])/Table1[[#This Row],[RPM]]</f>
        <v>-0.77</v>
      </c>
    </row>
    <row r="25" spans="1:30" x14ac:dyDescent="0.25">
      <c r="A25" t="s">
        <v>96</v>
      </c>
      <c r="B25" t="s">
        <v>81</v>
      </c>
      <c r="C25">
        <v>750</v>
      </c>
      <c r="D25">
        <v>3000</v>
      </c>
      <c r="E25" t="s">
        <v>14</v>
      </c>
      <c r="F25">
        <v>120</v>
      </c>
      <c r="G25">
        <v>480</v>
      </c>
      <c r="H25">
        <v>1</v>
      </c>
      <c r="I25" t="s">
        <v>58</v>
      </c>
      <c r="J25">
        <v>3</v>
      </c>
      <c r="K25">
        <v>2</v>
      </c>
      <c r="L25">
        <v>2</v>
      </c>
      <c r="M25">
        <v>5</v>
      </c>
      <c r="N25">
        <v>5</v>
      </c>
      <c r="O25" t="s">
        <v>102</v>
      </c>
      <c r="P25">
        <v>2</v>
      </c>
      <c r="Q25">
        <f>Table1[[#This Row],[Damage Mult]]*Table1[[#This Row],[RPM]]</f>
        <v>960</v>
      </c>
      <c r="R25">
        <f>Table1[[#This Row],[Durability]]/Table1[[#This Row],[RPM]]</f>
        <v>6.25</v>
      </c>
      <c r="T25">
        <v>3</v>
      </c>
      <c r="U25">
        <v>15</v>
      </c>
      <c r="V25">
        <v>5</v>
      </c>
      <c r="W25">
        <v>7</v>
      </c>
      <c r="X25">
        <v>15</v>
      </c>
      <c r="Y25">
        <v>0</v>
      </c>
      <c r="Z25">
        <v>750</v>
      </c>
      <c r="AA25">
        <v>0</v>
      </c>
      <c r="AB25">
        <f>Table1[[#This Row],[Kick Power 50bmg]]*Table1[[#This Row],[RPM]]</f>
        <v>7200</v>
      </c>
      <c r="AC25">
        <v>208</v>
      </c>
      <c r="AD25">
        <f>(Table1[[#This Row],[Accurate RPM]]-Table1[[#This Row],[RPM]])/Table1[[#This Row],[RPM]]</f>
        <v>-0.56666666666666665</v>
      </c>
    </row>
    <row r="26" spans="1:30" x14ac:dyDescent="0.25">
      <c r="A26" t="s">
        <v>113</v>
      </c>
      <c r="B26" t="s">
        <v>114</v>
      </c>
      <c r="C26">
        <v>4500</v>
      </c>
      <c r="D26">
        <v>1200</v>
      </c>
      <c r="E26" t="s">
        <v>70</v>
      </c>
      <c r="F26">
        <v>400</v>
      </c>
      <c r="G26">
        <v>100</v>
      </c>
      <c r="H26">
        <v>6</v>
      </c>
      <c r="I26" t="s">
        <v>15</v>
      </c>
      <c r="J26">
        <v>8</v>
      </c>
      <c r="K26">
        <v>1</v>
      </c>
      <c r="L26">
        <v>1</v>
      </c>
      <c r="M26">
        <v>3</v>
      </c>
      <c r="N26">
        <v>25</v>
      </c>
      <c r="O26" t="s">
        <v>115</v>
      </c>
      <c r="P26">
        <v>2</v>
      </c>
      <c r="Q26">
        <f>Table1[[#This Row],[Damage Mult]]*Table1[[#This Row],[RPM]]</f>
        <v>200</v>
      </c>
      <c r="R26">
        <f>Table1[[#This Row],[Durability]]/Table1[[#This Row],[RPM]]</f>
        <v>12</v>
      </c>
      <c r="T26">
        <v>0</v>
      </c>
      <c r="U26">
        <v>8</v>
      </c>
      <c r="V26">
        <v>2</v>
      </c>
      <c r="W26">
        <v>5</v>
      </c>
      <c r="X26">
        <v>8</v>
      </c>
      <c r="Y26">
        <v>0</v>
      </c>
      <c r="Z26">
        <v>750</v>
      </c>
      <c r="AA26">
        <v>0.2</v>
      </c>
      <c r="AB26">
        <f>Table1[[#This Row],[Kick Power 50bmg]]*Table1[[#This Row],[RPM]]</f>
        <v>800</v>
      </c>
      <c r="AC26">
        <v>100</v>
      </c>
      <c r="AD26">
        <f>(Table1[[#This Row],[Accurate RPM]]-Table1[[#This Row],[RPM]])/Table1[[#This Row],[RPM]]</f>
        <v>0</v>
      </c>
    </row>
    <row r="27" spans="1:30" x14ac:dyDescent="0.25">
      <c r="A27" t="s">
        <v>82</v>
      </c>
      <c r="B27" t="s">
        <v>81</v>
      </c>
      <c r="C27">
        <v>3850</v>
      </c>
      <c r="D27">
        <v>3000</v>
      </c>
      <c r="E27" t="s">
        <v>19</v>
      </c>
      <c r="F27">
        <v>96</v>
      </c>
      <c r="G27">
        <v>740</v>
      </c>
      <c r="H27">
        <v>30</v>
      </c>
      <c r="I27" t="s">
        <v>63</v>
      </c>
      <c r="J27">
        <v>2</v>
      </c>
      <c r="K27">
        <v>2</v>
      </c>
      <c r="L27">
        <v>2</v>
      </c>
      <c r="M27">
        <v>6</v>
      </c>
      <c r="N27">
        <v>16</v>
      </c>
      <c r="O27" t="s">
        <v>86</v>
      </c>
      <c r="P27">
        <v>1.2</v>
      </c>
      <c r="Q27">
        <f>Table1[[#This Row],[Damage Mult]]*Table1[[#This Row],[RPM]]</f>
        <v>888</v>
      </c>
      <c r="R27">
        <f>Table1[[#This Row],[Durability]]/Table1[[#This Row],[RPM]]</f>
        <v>4.0540540540540544</v>
      </c>
      <c r="T27">
        <v>1</v>
      </c>
      <c r="U27">
        <v>13</v>
      </c>
      <c r="V27">
        <v>2</v>
      </c>
      <c r="W27">
        <v>6</v>
      </c>
      <c r="X27">
        <v>15</v>
      </c>
      <c r="Y27">
        <v>0</v>
      </c>
      <c r="Z27">
        <v>800</v>
      </c>
      <c r="AA27">
        <v>0.25</v>
      </c>
      <c r="AB27">
        <f>Table1[[#This Row],[Kick Power 50bmg]]*Table1[[#This Row],[RPM]]</f>
        <v>11100</v>
      </c>
      <c r="AC27">
        <v>740</v>
      </c>
      <c r="AD27">
        <f>(Table1[[#This Row],[Accurate RPM]]-Table1[[#This Row],[RPM]])/Table1[[#This Row],[RPM]]</f>
        <v>0</v>
      </c>
    </row>
    <row r="28" spans="1:30" x14ac:dyDescent="0.25">
      <c r="A28" t="s">
        <v>98</v>
      </c>
      <c r="B28" t="s">
        <v>48</v>
      </c>
      <c r="C28">
        <v>2500</v>
      </c>
      <c r="D28">
        <v>2200</v>
      </c>
      <c r="E28" t="s">
        <v>23</v>
      </c>
      <c r="F28">
        <v>200</v>
      </c>
      <c r="G28">
        <v>350</v>
      </c>
      <c r="H28">
        <v>6</v>
      </c>
      <c r="I28" t="s">
        <v>15</v>
      </c>
      <c r="J28">
        <v>5</v>
      </c>
      <c r="K28">
        <v>1</v>
      </c>
      <c r="L28">
        <v>1</v>
      </c>
      <c r="M28">
        <v>5</v>
      </c>
      <c r="N28">
        <v>16</v>
      </c>
      <c r="O28" t="s">
        <v>102</v>
      </c>
      <c r="P28">
        <v>2</v>
      </c>
      <c r="Q28">
        <f>Table1[[#This Row],[Damage Mult]]*Table1[[#This Row],[RPM]]</f>
        <v>700</v>
      </c>
      <c r="R28">
        <f>Table1[[#This Row],[Durability]]/Table1[[#This Row],[RPM]]</f>
        <v>6.2857142857142856</v>
      </c>
      <c r="S28">
        <v>2.0499999999999998</v>
      </c>
      <c r="T28">
        <v>2</v>
      </c>
      <c r="U28">
        <v>12</v>
      </c>
      <c r="V28">
        <v>4</v>
      </c>
      <c r="W28">
        <v>5</v>
      </c>
      <c r="X28">
        <v>12</v>
      </c>
      <c r="Y28">
        <v>0</v>
      </c>
      <c r="Z28">
        <v>800</v>
      </c>
      <c r="AA28">
        <v>0.35</v>
      </c>
      <c r="AB28">
        <f>Table1[[#This Row],[Kick Power 50bmg]]*Table1[[#This Row],[RPM]]</f>
        <v>4200</v>
      </c>
      <c r="AC28">
        <v>176</v>
      </c>
      <c r="AD28">
        <f>(Table1[[#This Row],[Accurate RPM]]-Table1[[#This Row],[RPM]])/Table1[[#This Row],[RPM]]</f>
        <v>-0.49714285714285716</v>
      </c>
    </row>
    <row r="29" spans="1:30" x14ac:dyDescent="0.25">
      <c r="A29" t="s">
        <v>72</v>
      </c>
      <c r="B29" t="s">
        <v>22</v>
      </c>
      <c r="C29">
        <v>700</v>
      </c>
      <c r="D29">
        <v>3000</v>
      </c>
      <c r="E29" t="s">
        <v>14</v>
      </c>
      <c r="F29">
        <v>66</v>
      </c>
      <c r="G29">
        <v>800</v>
      </c>
      <c r="H29">
        <v>30</v>
      </c>
      <c r="I29" t="s">
        <v>33</v>
      </c>
      <c r="J29">
        <v>1</v>
      </c>
      <c r="K29">
        <v>2.5</v>
      </c>
      <c r="L29">
        <v>2.5</v>
      </c>
      <c r="M29">
        <v>7</v>
      </c>
      <c r="N29">
        <v>8</v>
      </c>
      <c r="O29" t="s">
        <v>76</v>
      </c>
      <c r="P29">
        <v>1.1000000000000001</v>
      </c>
      <c r="Q29">
        <f>Table1[[#This Row],[Damage Mult]]*Table1[[#This Row],[RPM]]</f>
        <v>880.00000000000011</v>
      </c>
      <c r="R29">
        <f>Table1[[#This Row],[Durability]]/Table1[[#This Row],[RPM]]</f>
        <v>3.75</v>
      </c>
      <c r="T29">
        <v>1</v>
      </c>
      <c r="U29">
        <v>17</v>
      </c>
      <c r="V29">
        <v>3</v>
      </c>
      <c r="W29">
        <v>5</v>
      </c>
      <c r="X29">
        <v>17</v>
      </c>
      <c r="Y29">
        <v>0</v>
      </c>
      <c r="Z29">
        <v>750</v>
      </c>
      <c r="AA29">
        <v>0.08</v>
      </c>
      <c r="AB29">
        <f>Table1[[#This Row],[Kick Power 50bmg]]*Table1[[#This Row],[RPM]]</f>
        <v>13600</v>
      </c>
      <c r="AC29">
        <v>1180</v>
      </c>
      <c r="AD29">
        <f>(Table1[[#This Row],[Accurate RPM]]-Table1[[#This Row],[RPM]])/Table1[[#This Row],[RPM]]</f>
        <v>0.47499999999999998</v>
      </c>
    </row>
    <row r="30" spans="1:30" x14ac:dyDescent="0.25">
      <c r="A30" t="s">
        <v>64</v>
      </c>
      <c r="B30" t="s">
        <v>22</v>
      </c>
      <c r="C30">
        <v>4000</v>
      </c>
      <c r="D30">
        <v>2200</v>
      </c>
      <c r="E30" t="s">
        <v>49</v>
      </c>
      <c r="F30">
        <v>320</v>
      </c>
      <c r="G30">
        <v>350</v>
      </c>
      <c r="H30">
        <v>6</v>
      </c>
      <c r="I30" t="s">
        <v>15</v>
      </c>
      <c r="J30">
        <v>17</v>
      </c>
      <c r="K30">
        <v>3.5</v>
      </c>
      <c r="L30">
        <v>1</v>
      </c>
      <c r="M30">
        <v>3.5</v>
      </c>
      <c r="N30">
        <v>16</v>
      </c>
      <c r="O30" t="s">
        <v>65</v>
      </c>
      <c r="P30">
        <v>2</v>
      </c>
      <c r="Q30">
        <f>Table1[[#This Row],[Damage Mult]]*Table1[[#This Row],[RPM]]</f>
        <v>700</v>
      </c>
      <c r="R30">
        <f>Table1[[#This Row],[Durability]]/Table1[[#This Row],[RPM]]</f>
        <v>6.2857142857142856</v>
      </c>
      <c r="S30">
        <v>5.33</v>
      </c>
      <c r="T30">
        <v>2</v>
      </c>
      <c r="U30">
        <v>17</v>
      </c>
      <c r="V30">
        <v>4</v>
      </c>
      <c r="W30">
        <v>6</v>
      </c>
      <c r="X30">
        <v>17</v>
      </c>
      <c r="Y30">
        <v>0</v>
      </c>
      <c r="Z30">
        <v>750</v>
      </c>
      <c r="AA30">
        <v>0.08</v>
      </c>
      <c r="AB30">
        <f>Table1[[#This Row],[Kick Power 50bmg]]*Table1[[#This Row],[RPM]]</f>
        <v>5950</v>
      </c>
      <c r="AC30">
        <v>350</v>
      </c>
      <c r="AD30">
        <f>(Table1[[#This Row],[Accurate RPM]]-Table1[[#This Row],[RPM]])/Table1[[#This Row],[RPM]]</f>
        <v>0</v>
      </c>
    </row>
    <row r="31" spans="1:30" x14ac:dyDescent="0.25">
      <c r="A31" t="s">
        <v>53</v>
      </c>
      <c r="B31" t="s">
        <v>22</v>
      </c>
      <c r="C31">
        <v>750</v>
      </c>
      <c r="D31">
        <v>2400</v>
      </c>
      <c r="E31" t="s">
        <v>49</v>
      </c>
      <c r="F31">
        <v>320</v>
      </c>
      <c r="G31">
        <v>80</v>
      </c>
      <c r="H31">
        <v>6</v>
      </c>
      <c r="I31" t="s">
        <v>55</v>
      </c>
      <c r="J31">
        <v>15</v>
      </c>
      <c r="K31">
        <v>5</v>
      </c>
      <c r="L31">
        <v>1</v>
      </c>
      <c r="M31">
        <v>5</v>
      </c>
      <c r="N31">
        <v>16</v>
      </c>
      <c r="O31" t="s">
        <v>65</v>
      </c>
      <c r="P31">
        <v>2</v>
      </c>
      <c r="Q31">
        <f>Table1[[#This Row],[Damage Mult]]*Table1[[#This Row],[RPM]]</f>
        <v>160</v>
      </c>
      <c r="R31">
        <f>Table1[[#This Row],[Durability]]/Table1[[#This Row],[RPM]]</f>
        <v>30</v>
      </c>
      <c r="T31">
        <v>1</v>
      </c>
      <c r="U31">
        <v>15</v>
      </c>
      <c r="V31">
        <v>3</v>
      </c>
      <c r="W31">
        <v>6</v>
      </c>
      <c r="X31">
        <v>15</v>
      </c>
      <c r="Y31">
        <v>0</v>
      </c>
      <c r="Z31">
        <v>750</v>
      </c>
      <c r="AA31">
        <v>0.5</v>
      </c>
      <c r="AB31">
        <f>Table1[[#This Row],[Kick Power 50bmg]]*Table1[[#This Row],[RPM]]</f>
        <v>1200</v>
      </c>
      <c r="AC31">
        <v>49</v>
      </c>
      <c r="AD31">
        <f>(Table1[[#This Row],[Accurate RPM]]-Table1[[#This Row],[RPM]])/Table1[[#This Row],[RPM]]</f>
        <v>-0.38750000000000001</v>
      </c>
    </row>
    <row r="32" spans="1:30" x14ac:dyDescent="0.25">
      <c r="A32" t="s">
        <v>89</v>
      </c>
      <c r="B32" t="s">
        <v>48</v>
      </c>
      <c r="C32">
        <v>2500</v>
      </c>
      <c r="D32">
        <v>4200</v>
      </c>
      <c r="E32" t="s">
        <v>30</v>
      </c>
      <c r="F32">
        <v>50</v>
      </c>
      <c r="G32" t="s">
        <v>91</v>
      </c>
      <c r="H32">
        <v>100</v>
      </c>
      <c r="I32" t="s">
        <v>63</v>
      </c>
      <c r="J32">
        <v>0</v>
      </c>
      <c r="K32" t="s">
        <v>92</v>
      </c>
      <c r="L32" t="s">
        <v>92</v>
      </c>
      <c r="M32" t="s">
        <v>121</v>
      </c>
      <c r="N32">
        <v>25</v>
      </c>
      <c r="O32" t="s">
        <v>95</v>
      </c>
      <c r="P32">
        <v>1</v>
      </c>
      <c r="Q32" t="e">
        <f>Table1[[#This Row],[Damage Mult]]*Table1[[#This Row],[RPM]]</f>
        <v>#VALUE!</v>
      </c>
      <c r="R32" t="e">
        <f>Table1[[#This Row],[Durability]]/Table1[[#This Row],[RPM]]</f>
        <v>#VALUE!</v>
      </c>
      <c r="T32">
        <v>0</v>
      </c>
      <c r="U32">
        <v>7</v>
      </c>
      <c r="V32">
        <v>1</v>
      </c>
      <c r="W32">
        <v>2</v>
      </c>
      <c r="X32">
        <v>7</v>
      </c>
      <c r="Y32">
        <v>0</v>
      </c>
      <c r="Z32">
        <v>1200</v>
      </c>
      <c r="AA32">
        <v>0</v>
      </c>
      <c r="AB32" t="e">
        <f>Table1[[#This Row],[Kick Power 50bmg]]*Table1[[#This Row],[RPM]]</f>
        <v>#VALUE!</v>
      </c>
      <c r="AC32" t="s">
        <v>135</v>
      </c>
      <c r="AD32" t="e">
        <f>(Table1[[#This Row],[Accurate RPM]]-Table1[[#This Row],[RPM]])/Table1[[#This Row],[RPM]]</f>
        <v>#VALUE!</v>
      </c>
    </row>
    <row r="33" spans="1:30" x14ac:dyDescent="0.25">
      <c r="A33" t="s">
        <v>12</v>
      </c>
      <c r="B33" t="s">
        <v>13</v>
      </c>
      <c r="C33">
        <v>1</v>
      </c>
      <c r="D33">
        <v>2000</v>
      </c>
      <c r="E33" t="s">
        <v>14</v>
      </c>
      <c r="F33">
        <v>60</v>
      </c>
      <c r="G33">
        <v>450</v>
      </c>
      <c r="H33">
        <v>7</v>
      </c>
      <c r="I33" t="s">
        <v>15</v>
      </c>
      <c r="J33">
        <v>2</v>
      </c>
      <c r="K33">
        <v>2</v>
      </c>
      <c r="L33">
        <v>2</v>
      </c>
      <c r="M33">
        <v>6</v>
      </c>
      <c r="N33">
        <v>5</v>
      </c>
      <c r="O33" t="s">
        <v>45</v>
      </c>
      <c r="P33">
        <v>1</v>
      </c>
      <c r="Q33">
        <f>Table1[[#This Row],[Damage Mult]]*Table1[[#This Row],[RPM]]</f>
        <v>450</v>
      </c>
      <c r="R33">
        <f>Table1[[#This Row],[Durability]]/Table1[[#This Row],[RPM]]</f>
        <v>4.4444444444444446</v>
      </c>
      <c r="T33">
        <v>2</v>
      </c>
      <c r="U33">
        <v>30</v>
      </c>
      <c r="V33">
        <v>5</v>
      </c>
      <c r="W33">
        <v>7.5</v>
      </c>
      <c r="X33">
        <v>50</v>
      </c>
      <c r="Y33">
        <v>0</v>
      </c>
      <c r="Z33">
        <v>750</v>
      </c>
      <c r="AA33">
        <v>0</v>
      </c>
      <c r="AB33">
        <f>Table1[[#This Row],[Kick Power 50bmg]]*Table1[[#This Row],[RPM]]</f>
        <v>22500</v>
      </c>
      <c r="AC33">
        <v>450</v>
      </c>
      <c r="AD33">
        <f>(Table1[[#This Row],[Accurate RPM]]-Table1[[#This Row],[RPM]])/Table1[[#This Row],[RPM]]</f>
        <v>0</v>
      </c>
    </row>
    <row r="34" spans="1:30" x14ac:dyDescent="0.25">
      <c r="A34" t="s">
        <v>38</v>
      </c>
      <c r="B34" t="s">
        <v>22</v>
      </c>
      <c r="C34">
        <v>1500</v>
      </c>
      <c r="D34">
        <v>2800</v>
      </c>
      <c r="E34" t="s">
        <v>19</v>
      </c>
      <c r="F34">
        <v>128</v>
      </c>
      <c r="G34">
        <v>80</v>
      </c>
      <c r="H34">
        <v>7</v>
      </c>
      <c r="I34" t="s">
        <v>37</v>
      </c>
      <c r="J34">
        <v>9</v>
      </c>
      <c r="K34">
        <v>2</v>
      </c>
      <c r="L34">
        <v>2</v>
      </c>
      <c r="M34">
        <v>5</v>
      </c>
      <c r="N34">
        <v>5</v>
      </c>
      <c r="O34" t="s">
        <v>46</v>
      </c>
      <c r="P34">
        <v>1.6</v>
      </c>
      <c r="Q34">
        <f>Table1[[#This Row],[Damage Mult]]*Table1[[#This Row],[RPM]]</f>
        <v>128</v>
      </c>
      <c r="R34">
        <f>Table1[[#This Row],[Durability]]/Table1[[#This Row],[RPM]]</f>
        <v>35</v>
      </c>
      <c r="T34">
        <v>3</v>
      </c>
      <c r="U34">
        <v>27</v>
      </c>
      <c r="V34">
        <v>9</v>
      </c>
      <c r="W34">
        <v>17</v>
      </c>
      <c r="X34">
        <v>27</v>
      </c>
      <c r="Y34">
        <v>0</v>
      </c>
      <c r="Z34">
        <v>750</v>
      </c>
      <c r="AA34">
        <v>0.25</v>
      </c>
      <c r="AB34">
        <f>Table1[[#This Row],[Kick Power 50bmg]]*Table1[[#This Row],[RPM]]</f>
        <v>2160</v>
      </c>
      <c r="AC34">
        <v>65</v>
      </c>
      <c r="AD34">
        <f>(Table1[[#This Row],[Accurate RPM]]-Table1[[#This Row],[RPM]])/Table1[[#This Row],[RPM]]</f>
        <v>-0.1875</v>
      </c>
    </row>
    <row r="35" spans="1:30" x14ac:dyDescent="0.25">
      <c r="A35" t="s">
        <v>68</v>
      </c>
      <c r="B35" t="s">
        <v>13</v>
      </c>
      <c r="C35">
        <v>455</v>
      </c>
      <c r="D35">
        <v>3900</v>
      </c>
      <c r="E35" t="s">
        <v>14</v>
      </c>
      <c r="F35">
        <v>60</v>
      </c>
      <c r="G35">
        <v>1500</v>
      </c>
      <c r="H35">
        <v>40</v>
      </c>
      <c r="I35" t="s">
        <v>63</v>
      </c>
      <c r="J35">
        <v>3</v>
      </c>
      <c r="K35">
        <v>5</v>
      </c>
      <c r="L35">
        <v>5</v>
      </c>
      <c r="M35">
        <v>7</v>
      </c>
      <c r="N35">
        <v>8</v>
      </c>
      <c r="O35" t="s">
        <v>76</v>
      </c>
      <c r="P35">
        <v>1</v>
      </c>
      <c r="Q35">
        <f>Table1[[#This Row],[Damage Mult]]*Table1[[#This Row],[RPM]]</f>
        <v>1500</v>
      </c>
      <c r="R35">
        <f>Table1[[#This Row],[Durability]]/Table1[[#This Row],[RPM]]</f>
        <v>2.6</v>
      </c>
      <c r="T35">
        <v>3</v>
      </c>
      <c r="U35">
        <v>20</v>
      </c>
      <c r="V35">
        <v>7</v>
      </c>
      <c r="W35">
        <v>10</v>
      </c>
      <c r="X35">
        <v>20</v>
      </c>
      <c r="Y35">
        <v>0</v>
      </c>
      <c r="Z35">
        <v>750</v>
      </c>
      <c r="AA35">
        <v>0.05</v>
      </c>
      <c r="AB35">
        <f>Table1[[#This Row],[Kick Power 50bmg]]*Table1[[#This Row],[RPM]]</f>
        <v>30000</v>
      </c>
      <c r="AC35">
        <v>1500</v>
      </c>
      <c r="AD35">
        <f>(Table1[[#This Row],[Accurate RPM]]-Table1[[#This Row],[RPM]])/Table1[[#This Row],[RPM]]</f>
        <v>0</v>
      </c>
    </row>
    <row r="36" spans="1:30" x14ac:dyDescent="0.25">
      <c r="A36" t="s">
        <v>87</v>
      </c>
      <c r="B36" t="s">
        <v>48</v>
      </c>
      <c r="C36">
        <v>4000</v>
      </c>
      <c r="D36">
        <v>3400</v>
      </c>
      <c r="E36" t="s">
        <v>23</v>
      </c>
      <c r="F36">
        <v>100</v>
      </c>
      <c r="G36">
        <v>800</v>
      </c>
      <c r="H36">
        <v>100</v>
      </c>
      <c r="I36" t="s">
        <v>63</v>
      </c>
      <c r="J36">
        <v>2</v>
      </c>
      <c r="K36">
        <v>4</v>
      </c>
      <c r="L36">
        <v>4</v>
      </c>
      <c r="M36">
        <v>7</v>
      </c>
      <c r="N36">
        <v>35</v>
      </c>
      <c r="O36" t="s">
        <v>95</v>
      </c>
      <c r="P36">
        <v>1</v>
      </c>
      <c r="Q36">
        <f>Table1[[#This Row],[Damage Mult]]*Table1[[#This Row],[RPM]]</f>
        <v>800</v>
      </c>
      <c r="R36">
        <f>Table1[[#This Row],[Durability]]/Table1[[#This Row],[RPM]]</f>
        <v>4.25</v>
      </c>
      <c r="T36">
        <v>0</v>
      </c>
      <c r="U36">
        <v>7</v>
      </c>
      <c r="V36">
        <v>1</v>
      </c>
      <c r="W36">
        <v>2</v>
      </c>
      <c r="X36">
        <v>7</v>
      </c>
      <c r="Y36">
        <v>0</v>
      </c>
      <c r="Z36">
        <v>1200</v>
      </c>
      <c r="AA36">
        <v>0.7</v>
      </c>
      <c r="AB36">
        <f>Table1[[#This Row],[Kick Power 50bmg]]*Table1[[#This Row],[RPM]]</f>
        <v>5600</v>
      </c>
      <c r="AC36">
        <v>800</v>
      </c>
      <c r="AD36">
        <f>(Table1[[#This Row],[Accurate RPM]]-Table1[[#This Row],[RPM]])/Table1[[#This Row],[RPM]]</f>
        <v>0</v>
      </c>
    </row>
    <row r="37" spans="1:30" x14ac:dyDescent="0.25">
      <c r="A37" t="s">
        <v>103</v>
      </c>
      <c r="B37" t="s">
        <v>48</v>
      </c>
      <c r="C37">
        <v>3500</v>
      </c>
      <c r="D37">
        <v>3500</v>
      </c>
      <c r="E37" t="s">
        <v>23</v>
      </c>
      <c r="F37">
        <v>200</v>
      </c>
      <c r="G37">
        <v>480</v>
      </c>
      <c r="H37">
        <v>5</v>
      </c>
      <c r="I37" t="s">
        <v>104</v>
      </c>
      <c r="J37">
        <v>5</v>
      </c>
      <c r="K37">
        <v>1</v>
      </c>
      <c r="L37">
        <v>1</v>
      </c>
      <c r="M37">
        <v>5</v>
      </c>
      <c r="N37">
        <v>25</v>
      </c>
      <c r="O37" t="s">
        <v>115</v>
      </c>
      <c r="P37">
        <v>2</v>
      </c>
      <c r="Q37">
        <f>Table1[[#This Row],[Damage Mult]]*Table1[[#This Row],[RPM]]</f>
        <v>960</v>
      </c>
      <c r="R37">
        <f>Table1[[#This Row],[Durability]]/Table1[[#This Row],[RPM]]</f>
        <v>7.291666666666667</v>
      </c>
      <c r="T37">
        <v>2</v>
      </c>
      <c r="U37">
        <v>12</v>
      </c>
      <c r="V37">
        <v>4</v>
      </c>
      <c r="W37">
        <v>5</v>
      </c>
      <c r="X37">
        <v>12</v>
      </c>
      <c r="Y37">
        <v>0</v>
      </c>
      <c r="Z37">
        <v>750</v>
      </c>
      <c r="AA37">
        <v>0.35</v>
      </c>
      <c r="AB37">
        <f>Table1[[#This Row],[Kick Power 50bmg]]*Table1[[#This Row],[RPM]]</f>
        <v>5760</v>
      </c>
      <c r="AC37">
        <v>46</v>
      </c>
      <c r="AD37">
        <f>(Table1[[#This Row],[Accurate RPM]]-Table1[[#This Row],[RPM]])/Table1[[#This Row],[RPM]]</f>
        <v>-0.90416666666666667</v>
      </c>
    </row>
    <row r="38" spans="1:30" x14ac:dyDescent="0.25">
      <c r="A38" t="s">
        <v>21</v>
      </c>
      <c r="B38" t="s">
        <v>22</v>
      </c>
      <c r="C38">
        <v>2500</v>
      </c>
      <c r="D38">
        <v>2000</v>
      </c>
      <c r="E38" t="s">
        <v>23</v>
      </c>
      <c r="F38">
        <v>120</v>
      </c>
      <c r="G38">
        <v>170</v>
      </c>
      <c r="H38">
        <v>8</v>
      </c>
      <c r="I38" t="s">
        <v>15</v>
      </c>
      <c r="J38">
        <v>15</v>
      </c>
      <c r="K38">
        <v>1.5</v>
      </c>
      <c r="L38">
        <v>1.5</v>
      </c>
      <c r="M38">
        <v>5</v>
      </c>
      <c r="N38">
        <v>5</v>
      </c>
      <c r="O38" t="s">
        <v>45</v>
      </c>
      <c r="P38">
        <v>1.2</v>
      </c>
      <c r="Q38">
        <f>Table1[[#This Row],[Damage Mult]]*Table1[[#This Row],[RPM]]</f>
        <v>204</v>
      </c>
      <c r="R38">
        <f>Table1[[#This Row],[Durability]]/Table1[[#This Row],[RPM]]</f>
        <v>11.764705882352942</v>
      </c>
      <c r="T38">
        <v>5</v>
      </c>
      <c r="U38">
        <v>25</v>
      </c>
      <c r="V38">
        <v>10</v>
      </c>
      <c r="W38">
        <v>15</v>
      </c>
      <c r="X38">
        <v>28</v>
      </c>
      <c r="Y38">
        <v>0</v>
      </c>
      <c r="Z38">
        <v>750</v>
      </c>
      <c r="AA38">
        <v>0.2</v>
      </c>
      <c r="AB38">
        <f>Table1[[#This Row],[Kick Power 50bmg]]*Table1[[#This Row],[RPM]]</f>
        <v>4760</v>
      </c>
      <c r="AC38">
        <v>152</v>
      </c>
      <c r="AD38">
        <f>(Table1[[#This Row],[Accurate RPM]]-Table1[[#This Row],[RPM]])/Table1[[#This Row],[RPM]]</f>
        <v>-0.10588235294117647</v>
      </c>
    </row>
    <row r="39" spans="1:30" x14ac:dyDescent="0.25">
      <c r="A39" t="s">
        <v>36</v>
      </c>
      <c r="B39" t="s">
        <v>13</v>
      </c>
      <c r="C39">
        <v>250</v>
      </c>
      <c r="D39">
        <v>3300</v>
      </c>
      <c r="E39" t="s">
        <v>14</v>
      </c>
      <c r="F39">
        <v>96</v>
      </c>
      <c r="G39">
        <v>80</v>
      </c>
      <c r="H39">
        <v>6</v>
      </c>
      <c r="I39" t="s">
        <v>37</v>
      </c>
      <c r="J39">
        <v>5</v>
      </c>
      <c r="K39">
        <v>2.5</v>
      </c>
      <c r="L39">
        <v>2.5</v>
      </c>
      <c r="M39">
        <v>7</v>
      </c>
      <c r="N39">
        <v>5</v>
      </c>
      <c r="O39" t="s">
        <v>46</v>
      </c>
      <c r="P39">
        <v>1.6</v>
      </c>
      <c r="Q39">
        <f>Table1[[#This Row],[Damage Mult]]*Table1[[#This Row],[RPM]]</f>
        <v>128</v>
      </c>
      <c r="R39">
        <f>Table1[[#This Row],[Durability]]/Table1[[#This Row],[RPM]]</f>
        <v>41.25</v>
      </c>
      <c r="T39">
        <v>5</v>
      </c>
      <c r="U39">
        <v>25</v>
      </c>
      <c r="V39">
        <v>10</v>
      </c>
      <c r="W39">
        <v>15</v>
      </c>
      <c r="X39">
        <v>30</v>
      </c>
      <c r="Y39">
        <v>0</v>
      </c>
      <c r="Z39">
        <v>500</v>
      </c>
      <c r="AA39">
        <v>0</v>
      </c>
      <c r="AB39">
        <f>Table1[[#This Row],[Kick Power 50bmg]]*Table1[[#This Row],[RPM]]</f>
        <v>2400</v>
      </c>
      <c r="AC39">
        <v>80</v>
      </c>
      <c r="AD39">
        <f>(Table1[[#This Row],[Accurate RPM]]-Table1[[#This Row],[RPM]])/Table1[[#This Row],[RPM]]</f>
        <v>0</v>
      </c>
    </row>
    <row r="40" spans="1:30" x14ac:dyDescent="0.25">
      <c r="A40" t="s">
        <v>16</v>
      </c>
      <c r="B40" t="s">
        <v>13</v>
      </c>
      <c r="C40">
        <v>950</v>
      </c>
      <c r="D40">
        <v>2200</v>
      </c>
      <c r="E40" t="s">
        <v>14</v>
      </c>
      <c r="F40">
        <v>60</v>
      </c>
      <c r="G40">
        <v>600</v>
      </c>
      <c r="H40">
        <v>12</v>
      </c>
      <c r="I40" t="s">
        <v>15</v>
      </c>
      <c r="J40">
        <v>2</v>
      </c>
      <c r="K40">
        <v>2</v>
      </c>
      <c r="L40">
        <v>2</v>
      </c>
      <c r="M40">
        <v>7</v>
      </c>
      <c r="N40">
        <v>5</v>
      </c>
      <c r="O40" t="s">
        <v>45</v>
      </c>
      <c r="P40">
        <v>1</v>
      </c>
      <c r="Q40">
        <f>Table1[[#This Row],[Damage Mult]]*Table1[[#This Row],[RPM]]</f>
        <v>600</v>
      </c>
      <c r="R40">
        <f>Table1[[#This Row],[Durability]]/Table1[[#This Row],[RPM]]</f>
        <v>3.6666666666666665</v>
      </c>
      <c r="T40">
        <v>2</v>
      </c>
      <c r="U40">
        <v>30</v>
      </c>
      <c r="V40">
        <v>5</v>
      </c>
      <c r="W40">
        <v>10</v>
      </c>
      <c r="X40">
        <v>40</v>
      </c>
      <c r="Y40">
        <v>0</v>
      </c>
      <c r="Z40">
        <v>750</v>
      </c>
      <c r="AA40">
        <v>0</v>
      </c>
      <c r="AB40">
        <f>Table1[[#This Row],[Kick Power 50bmg]]*Table1[[#This Row],[RPM]]</f>
        <v>24000</v>
      </c>
      <c r="AC40">
        <v>600</v>
      </c>
      <c r="AD40">
        <f>(Table1[[#This Row],[Accurate RPM]]-Table1[[#This Row],[RPM]])/Table1[[#This Row],[RPM]]</f>
        <v>0</v>
      </c>
    </row>
    <row r="41" spans="1:30" x14ac:dyDescent="0.25">
      <c r="A41" t="s">
        <v>84</v>
      </c>
      <c r="B41" t="s">
        <v>81</v>
      </c>
      <c r="C41">
        <v>3000</v>
      </c>
      <c r="D41">
        <v>4700</v>
      </c>
      <c r="E41" t="s">
        <v>14</v>
      </c>
      <c r="F41">
        <v>72</v>
      </c>
      <c r="G41">
        <v>900</v>
      </c>
      <c r="H41">
        <v>42</v>
      </c>
      <c r="I41" t="s">
        <v>123</v>
      </c>
      <c r="J41">
        <v>1.5</v>
      </c>
      <c r="K41">
        <v>2</v>
      </c>
      <c r="L41">
        <v>2</v>
      </c>
      <c r="M41">
        <v>7</v>
      </c>
      <c r="N41">
        <v>16</v>
      </c>
      <c r="O41" t="s">
        <v>86</v>
      </c>
      <c r="P41">
        <v>1.2</v>
      </c>
      <c r="Q41">
        <f>Table1[[#This Row],[Damage Mult]]*Table1[[#This Row],[RPM]]</f>
        <v>1080</v>
      </c>
      <c r="R41">
        <f>Table1[[#This Row],[Durability]]/Table1[[#This Row],[RPM]]</f>
        <v>5.2222222222222223</v>
      </c>
      <c r="T41">
        <v>1.5</v>
      </c>
      <c r="U41">
        <v>15</v>
      </c>
      <c r="V41">
        <v>3</v>
      </c>
      <c r="W41">
        <v>6</v>
      </c>
      <c r="X41">
        <v>10</v>
      </c>
      <c r="Y41">
        <v>0</v>
      </c>
      <c r="Z41">
        <v>750</v>
      </c>
      <c r="AA41">
        <v>0.05</v>
      </c>
      <c r="AB41">
        <f>Table1[[#This Row],[Kick Power 50bmg]]*Table1[[#This Row],[RPM]]</f>
        <v>9000</v>
      </c>
      <c r="AC41">
        <v>1180</v>
      </c>
      <c r="AD41">
        <f>(Table1[[#This Row],[Accurate RPM]]-Table1[[#This Row],[RPM]])/Table1[[#This Row],[RPM]]</f>
        <v>0.31111111111111112</v>
      </c>
    </row>
    <row r="42" spans="1:30" x14ac:dyDescent="0.25">
      <c r="A42" t="s">
        <v>75</v>
      </c>
      <c r="B42" t="s">
        <v>13</v>
      </c>
      <c r="C42">
        <v>3250</v>
      </c>
      <c r="D42">
        <v>4700</v>
      </c>
      <c r="E42" t="s">
        <v>14</v>
      </c>
      <c r="F42">
        <v>60</v>
      </c>
      <c r="G42">
        <v>950</v>
      </c>
      <c r="H42">
        <v>40</v>
      </c>
      <c r="I42" t="s">
        <v>63</v>
      </c>
      <c r="J42">
        <v>2.5</v>
      </c>
      <c r="K42">
        <v>3.5</v>
      </c>
      <c r="L42">
        <v>3.5</v>
      </c>
      <c r="M42">
        <v>7</v>
      </c>
      <c r="N42">
        <v>8</v>
      </c>
      <c r="O42" t="s">
        <v>76</v>
      </c>
      <c r="P42">
        <v>1</v>
      </c>
      <c r="Q42">
        <f>Table1[[#This Row],[Damage Mult]]*Table1[[#This Row],[RPM]]</f>
        <v>950</v>
      </c>
      <c r="R42">
        <f>Table1[[#This Row],[Durability]]/Table1[[#This Row],[RPM]]</f>
        <v>4.9473684210526319</v>
      </c>
      <c r="T42">
        <v>2.5</v>
      </c>
      <c r="U42">
        <v>19</v>
      </c>
      <c r="V42">
        <v>6</v>
      </c>
      <c r="W42">
        <v>8</v>
      </c>
      <c r="X42">
        <v>18</v>
      </c>
      <c r="Y42">
        <v>0</v>
      </c>
      <c r="Z42">
        <v>750</v>
      </c>
      <c r="AA42">
        <v>0.05</v>
      </c>
      <c r="AB42">
        <f>Table1[[#This Row],[Kick Power 50bmg]]*Table1[[#This Row],[RPM]]</f>
        <v>17100</v>
      </c>
      <c r="AC42">
        <v>950</v>
      </c>
      <c r="AD42">
        <f>(Table1[[#This Row],[Accurate RPM]]-Table1[[#This Row],[RPM]])/Table1[[#This Row],[RPM]]</f>
        <v>0</v>
      </c>
    </row>
    <row r="43" spans="1:30" x14ac:dyDescent="0.25">
      <c r="A43" t="s">
        <v>17</v>
      </c>
      <c r="B43" t="s">
        <v>13</v>
      </c>
      <c r="C43">
        <v>1250</v>
      </c>
      <c r="D43">
        <v>2100</v>
      </c>
      <c r="E43" t="s">
        <v>14</v>
      </c>
      <c r="F43">
        <v>60</v>
      </c>
      <c r="G43">
        <v>600</v>
      </c>
      <c r="H43">
        <v>30</v>
      </c>
      <c r="I43" t="s">
        <v>15</v>
      </c>
      <c r="J43">
        <v>2</v>
      </c>
      <c r="K43">
        <v>2.5</v>
      </c>
      <c r="L43">
        <v>2.5</v>
      </c>
      <c r="M43">
        <v>7</v>
      </c>
      <c r="N43">
        <v>5</v>
      </c>
      <c r="O43" t="s">
        <v>45</v>
      </c>
      <c r="P43">
        <v>1</v>
      </c>
      <c r="Q43">
        <f>Table1[[#This Row],[Damage Mult]]*Table1[[#This Row],[RPM]]</f>
        <v>600</v>
      </c>
      <c r="R43">
        <f>Table1[[#This Row],[Durability]]/Table1[[#This Row],[RPM]]</f>
        <v>3.5</v>
      </c>
      <c r="T43">
        <v>2</v>
      </c>
      <c r="U43">
        <v>30</v>
      </c>
      <c r="V43">
        <v>7</v>
      </c>
      <c r="W43">
        <v>12</v>
      </c>
      <c r="X43">
        <v>50</v>
      </c>
      <c r="Y43">
        <v>0</v>
      </c>
      <c r="Z43">
        <v>750</v>
      </c>
      <c r="AA43">
        <v>0</v>
      </c>
      <c r="AB43">
        <f>Table1[[#This Row],[Kick Power 50bmg]]*Table1[[#This Row],[RPM]]</f>
        <v>30000</v>
      </c>
      <c r="AC43">
        <v>600</v>
      </c>
      <c r="AD43">
        <f>(Table1[[#This Row],[Accurate RPM]]-Table1[[#This Row],[RPM]])/Table1[[#This Row],[RPM]]</f>
        <v>0</v>
      </c>
    </row>
    <row r="44" spans="1:30" x14ac:dyDescent="0.25">
      <c r="A44" t="s">
        <v>100</v>
      </c>
      <c r="B44" t="s">
        <v>81</v>
      </c>
      <c r="C44">
        <v>1750</v>
      </c>
      <c r="D44">
        <v>2800</v>
      </c>
      <c r="E44" t="s">
        <v>19</v>
      </c>
      <c r="F44">
        <v>160</v>
      </c>
      <c r="G44">
        <v>80</v>
      </c>
      <c r="H44">
        <v>8</v>
      </c>
      <c r="I44" t="s">
        <v>37</v>
      </c>
      <c r="J44">
        <v>10</v>
      </c>
      <c r="K44">
        <v>2</v>
      </c>
      <c r="L44">
        <v>2</v>
      </c>
      <c r="M44">
        <v>5</v>
      </c>
      <c r="N44">
        <v>8</v>
      </c>
      <c r="O44" t="s">
        <v>102</v>
      </c>
      <c r="P44">
        <v>2</v>
      </c>
      <c r="Q44">
        <f>Table1[[#This Row],[Damage Mult]]*Table1[[#This Row],[RPM]]</f>
        <v>160</v>
      </c>
      <c r="R44">
        <f>Table1[[#This Row],[Durability]]/Table1[[#This Row],[RPM]]</f>
        <v>35</v>
      </c>
      <c r="T44">
        <v>5</v>
      </c>
      <c r="U44">
        <v>25</v>
      </c>
      <c r="V44">
        <v>10</v>
      </c>
      <c r="W44">
        <v>15</v>
      </c>
      <c r="X44">
        <v>30</v>
      </c>
      <c r="Y44">
        <v>0</v>
      </c>
      <c r="Z44">
        <v>500</v>
      </c>
      <c r="AA44">
        <v>0</v>
      </c>
      <c r="AB44">
        <f>Table1[[#This Row],[Kick Power 50bmg]]*Table1[[#This Row],[RPM]]</f>
        <v>2400</v>
      </c>
      <c r="AC44">
        <v>59</v>
      </c>
      <c r="AD44">
        <f>(Table1[[#This Row],[Accurate RPM]]-Table1[[#This Row],[RPM]])/Table1[[#This Row],[RPM]]</f>
        <v>-0.26250000000000001</v>
      </c>
    </row>
    <row r="45" spans="1:30" x14ac:dyDescent="0.25">
      <c r="A45" t="s">
        <v>34</v>
      </c>
      <c r="B45" t="s">
        <v>13</v>
      </c>
      <c r="C45">
        <v>1500</v>
      </c>
      <c r="D45">
        <v>3700</v>
      </c>
      <c r="E45" t="s">
        <v>19</v>
      </c>
      <c r="F45">
        <v>104</v>
      </c>
      <c r="G45">
        <v>800</v>
      </c>
      <c r="H45">
        <v>14</v>
      </c>
      <c r="I45" t="s">
        <v>15</v>
      </c>
      <c r="J45">
        <v>5</v>
      </c>
      <c r="K45">
        <v>2.5</v>
      </c>
      <c r="L45">
        <v>2.5</v>
      </c>
      <c r="M45">
        <v>6</v>
      </c>
      <c r="N45">
        <v>5</v>
      </c>
      <c r="O45" t="s">
        <v>45</v>
      </c>
      <c r="P45">
        <v>1.3</v>
      </c>
      <c r="Q45">
        <f>Table1[[#This Row],[Damage Mult]]*Table1[[#This Row],[RPM]]</f>
        <v>1040</v>
      </c>
      <c r="R45">
        <f>Table1[[#This Row],[Durability]]/Table1[[#This Row],[RPM]]</f>
        <v>4.625</v>
      </c>
      <c r="T45">
        <v>3</v>
      </c>
      <c r="U45">
        <v>27</v>
      </c>
      <c r="V45">
        <v>5</v>
      </c>
      <c r="W45">
        <v>10</v>
      </c>
      <c r="X45">
        <v>60</v>
      </c>
      <c r="Y45">
        <v>0</v>
      </c>
      <c r="Z45">
        <v>800</v>
      </c>
      <c r="AA45">
        <v>0</v>
      </c>
      <c r="AB45">
        <f>Table1[[#This Row],[Kick Power 50bmg]]*Table1[[#This Row],[RPM]]</f>
        <v>48000</v>
      </c>
      <c r="AC45">
        <v>800</v>
      </c>
      <c r="AD45">
        <f>(Table1[[#This Row],[Accurate RPM]]-Table1[[#This Row],[RPM]])/Table1[[#This Row],[RPM]]</f>
        <v>0</v>
      </c>
    </row>
    <row r="46" spans="1:30" x14ac:dyDescent="0.25">
      <c r="A46" t="s">
        <v>80</v>
      </c>
      <c r="B46" t="s">
        <v>81</v>
      </c>
      <c r="C46">
        <v>2500</v>
      </c>
      <c r="D46">
        <v>2700</v>
      </c>
      <c r="E46" t="s">
        <v>23</v>
      </c>
      <c r="F46">
        <v>120</v>
      </c>
      <c r="G46">
        <v>575</v>
      </c>
      <c r="H46">
        <v>20</v>
      </c>
      <c r="I46" t="s">
        <v>63</v>
      </c>
      <c r="J46">
        <v>4</v>
      </c>
      <c r="K46">
        <v>1.5</v>
      </c>
      <c r="L46">
        <v>1.5</v>
      </c>
      <c r="M46">
        <v>7</v>
      </c>
      <c r="N46">
        <v>16</v>
      </c>
      <c r="O46" t="s">
        <v>86</v>
      </c>
      <c r="P46">
        <v>1.2</v>
      </c>
      <c r="Q46">
        <f>Table1[[#This Row],[Damage Mult]]*Table1[[#This Row],[RPM]]</f>
        <v>690</v>
      </c>
      <c r="R46">
        <f>Table1[[#This Row],[Durability]]/Table1[[#This Row],[RPM]]</f>
        <v>4.6956521739130439</v>
      </c>
      <c r="T46">
        <v>1</v>
      </c>
      <c r="U46">
        <v>12</v>
      </c>
      <c r="V46">
        <v>2</v>
      </c>
      <c r="W46">
        <v>4</v>
      </c>
      <c r="X46">
        <v>12</v>
      </c>
      <c r="Y46">
        <v>0</v>
      </c>
      <c r="Z46">
        <v>800</v>
      </c>
      <c r="AA46">
        <v>0.625</v>
      </c>
      <c r="AB46">
        <f>Table1[[#This Row],[Kick Power 50bmg]]*Table1[[#This Row],[RPM]]</f>
        <v>6900</v>
      </c>
      <c r="AC46">
        <v>575</v>
      </c>
      <c r="AD46">
        <f>(Table1[[#This Row],[Accurate RPM]]-Table1[[#This Row],[RPM]])/Table1[[#This Row],[RPM]]</f>
        <v>0</v>
      </c>
    </row>
    <row r="47" spans="1:30" x14ac:dyDescent="0.25">
      <c r="A47" t="s">
        <v>28</v>
      </c>
      <c r="B47" t="s">
        <v>29</v>
      </c>
      <c r="C47">
        <v>1400</v>
      </c>
      <c r="D47">
        <v>4000</v>
      </c>
      <c r="E47" t="s">
        <v>30</v>
      </c>
      <c r="F47">
        <v>50</v>
      </c>
      <c r="G47">
        <v>600</v>
      </c>
      <c r="H47">
        <v>10</v>
      </c>
      <c r="I47" t="s">
        <v>15</v>
      </c>
      <c r="J47">
        <v>0</v>
      </c>
      <c r="K47">
        <v>1</v>
      </c>
      <c r="L47">
        <v>1</v>
      </c>
      <c r="M47" t="s">
        <v>121</v>
      </c>
      <c r="N47">
        <v>5</v>
      </c>
      <c r="O47" t="s">
        <v>45</v>
      </c>
      <c r="P47">
        <v>1</v>
      </c>
      <c r="Q47">
        <f>Table1[[#This Row],[Damage Mult]]*Table1[[#This Row],[RPM]]</f>
        <v>600</v>
      </c>
      <c r="R47">
        <f>Table1[[#This Row],[Durability]]/Table1[[#This Row],[RPM]]</f>
        <v>6.666666666666667</v>
      </c>
      <c r="T47">
        <v>0.1</v>
      </c>
      <c r="U47">
        <v>1.1000000000000001</v>
      </c>
      <c r="V47">
        <v>0.35</v>
      </c>
      <c r="W47">
        <v>0.8</v>
      </c>
      <c r="X47">
        <v>1.4</v>
      </c>
      <c r="Y47">
        <v>0</v>
      </c>
      <c r="Z47">
        <v>750</v>
      </c>
      <c r="AA47">
        <v>0</v>
      </c>
      <c r="AB47">
        <f>Table1[[#This Row],[Kick Power 50bmg]]*Table1[[#This Row],[RPM]]</f>
        <v>840</v>
      </c>
      <c r="AC47">
        <v>600</v>
      </c>
      <c r="AD47">
        <f>(Table1[[#This Row],[Accurate RPM]]-Table1[[#This Row],[RPM]])/Table1[[#This Row],[RPM]]</f>
        <v>0</v>
      </c>
    </row>
    <row r="48" spans="1:30" x14ac:dyDescent="0.25">
      <c r="A48" t="s">
        <v>74</v>
      </c>
      <c r="B48" t="s">
        <v>13</v>
      </c>
      <c r="C48">
        <v>2400</v>
      </c>
      <c r="D48">
        <v>3000</v>
      </c>
      <c r="E48" t="s">
        <v>14</v>
      </c>
      <c r="F48">
        <v>72</v>
      </c>
      <c r="G48">
        <v>600</v>
      </c>
      <c r="H48">
        <v>24</v>
      </c>
      <c r="I48" t="s">
        <v>63</v>
      </c>
      <c r="J48">
        <v>2</v>
      </c>
      <c r="K48">
        <v>2.5</v>
      </c>
      <c r="L48">
        <v>2.5</v>
      </c>
      <c r="M48">
        <v>7</v>
      </c>
      <c r="N48">
        <v>8</v>
      </c>
      <c r="O48" t="s">
        <v>76</v>
      </c>
      <c r="P48">
        <v>1.2</v>
      </c>
      <c r="Q48">
        <f>Table1[[#This Row],[Damage Mult]]*Table1[[#This Row],[RPM]]</f>
        <v>720</v>
      </c>
      <c r="R48">
        <f>Table1[[#This Row],[Durability]]/Table1[[#This Row],[RPM]]</f>
        <v>5</v>
      </c>
      <c r="T48">
        <v>2</v>
      </c>
      <c r="U48">
        <v>17</v>
      </c>
      <c r="V48">
        <v>4</v>
      </c>
      <c r="W48">
        <v>6</v>
      </c>
      <c r="X48">
        <v>17</v>
      </c>
      <c r="Y48">
        <v>0</v>
      </c>
      <c r="Z48">
        <v>750</v>
      </c>
      <c r="AA48">
        <v>0.08</v>
      </c>
      <c r="AB48">
        <f>Table1[[#This Row],[Kick Power 50bmg]]*Table1[[#This Row],[RPM]]</f>
        <v>10200</v>
      </c>
      <c r="AC48">
        <v>600</v>
      </c>
      <c r="AD48">
        <f>(Table1[[#This Row],[Accurate RPM]]-Table1[[#This Row],[RPM]])/Table1[[#This Row],[RPM]]</f>
        <v>0</v>
      </c>
    </row>
    <row r="49" spans="1:30" x14ac:dyDescent="0.25">
      <c r="A49" t="s">
        <v>67</v>
      </c>
      <c r="B49" t="s">
        <v>22</v>
      </c>
      <c r="C49">
        <v>1500</v>
      </c>
      <c r="D49">
        <v>3900</v>
      </c>
      <c r="E49" t="s">
        <v>14</v>
      </c>
      <c r="F49">
        <v>60</v>
      </c>
      <c r="G49">
        <v>800</v>
      </c>
      <c r="H49">
        <v>30</v>
      </c>
      <c r="I49" t="s">
        <v>63</v>
      </c>
      <c r="J49">
        <v>2</v>
      </c>
      <c r="K49">
        <v>2.5</v>
      </c>
      <c r="L49">
        <v>2.5</v>
      </c>
      <c r="M49">
        <v>7</v>
      </c>
      <c r="N49">
        <v>8</v>
      </c>
      <c r="O49" t="s">
        <v>76</v>
      </c>
      <c r="P49">
        <v>1</v>
      </c>
      <c r="Q49">
        <f>Table1[[#This Row],[Damage Mult]]*Table1[[#This Row],[RPM]]</f>
        <v>800</v>
      </c>
      <c r="R49">
        <f>Table1[[#This Row],[Durability]]/Table1[[#This Row],[RPM]]</f>
        <v>4.875</v>
      </c>
      <c r="T49">
        <v>2</v>
      </c>
      <c r="U49">
        <v>17</v>
      </c>
      <c r="V49">
        <v>4</v>
      </c>
      <c r="W49">
        <v>6</v>
      </c>
      <c r="X49">
        <v>17</v>
      </c>
      <c r="Y49">
        <v>0</v>
      </c>
      <c r="Z49">
        <v>750</v>
      </c>
      <c r="AA49">
        <v>0.08</v>
      </c>
      <c r="AB49">
        <f>Table1[[#This Row],[Kick Power 50bmg]]*Table1[[#This Row],[RPM]]</f>
        <v>13600</v>
      </c>
      <c r="AC49">
        <v>800</v>
      </c>
      <c r="AD49">
        <f>(Table1[[#This Row],[Accurate RPM]]-Table1[[#This Row],[RPM]])/Table1[[#This Row],[RPM]]</f>
        <v>0</v>
      </c>
    </row>
    <row r="50" spans="1:30" x14ac:dyDescent="0.25">
      <c r="A50" t="s">
        <v>93</v>
      </c>
      <c r="B50" t="s">
        <v>48</v>
      </c>
      <c r="C50">
        <v>3500</v>
      </c>
      <c r="D50">
        <v>3500</v>
      </c>
      <c r="E50" t="s">
        <v>19</v>
      </c>
      <c r="F50">
        <v>80</v>
      </c>
      <c r="G50">
        <v>600</v>
      </c>
      <c r="H50">
        <v>55</v>
      </c>
      <c r="I50" t="s">
        <v>63</v>
      </c>
      <c r="J50">
        <v>3</v>
      </c>
      <c r="K50">
        <v>2.5</v>
      </c>
      <c r="L50">
        <v>2.5</v>
      </c>
      <c r="M50">
        <v>8</v>
      </c>
      <c r="N50">
        <v>16</v>
      </c>
      <c r="O50" t="s">
        <v>95</v>
      </c>
      <c r="P50">
        <v>1</v>
      </c>
      <c r="Q50">
        <f>Table1[[#This Row],[Damage Mult]]*Table1[[#This Row],[RPM]]</f>
        <v>600</v>
      </c>
      <c r="R50">
        <f>Table1[[#This Row],[Durability]]/Table1[[#This Row],[RPM]]</f>
        <v>5.833333333333333</v>
      </c>
      <c r="T50">
        <v>1</v>
      </c>
      <c r="U50">
        <v>12</v>
      </c>
      <c r="V50">
        <v>3</v>
      </c>
      <c r="W50">
        <v>6</v>
      </c>
      <c r="X50">
        <v>16</v>
      </c>
      <c r="Y50">
        <v>0</v>
      </c>
      <c r="Z50">
        <v>800</v>
      </c>
      <c r="AA50">
        <v>0.625</v>
      </c>
      <c r="AB50">
        <f>Table1[[#This Row],[Kick Power 50bmg]]*Table1[[#This Row],[RPM]]</f>
        <v>9600</v>
      </c>
      <c r="AC50">
        <v>600</v>
      </c>
      <c r="AD50">
        <f>(Table1[[#This Row],[Accurate RPM]]-Table1[[#This Row],[RPM]])/Table1[[#This Row],[RPM]]</f>
        <v>0</v>
      </c>
    </row>
    <row r="51" spans="1:30" x14ac:dyDescent="0.25">
      <c r="A51" t="s">
        <v>83</v>
      </c>
      <c r="B51" t="s">
        <v>81</v>
      </c>
      <c r="C51">
        <v>3000</v>
      </c>
      <c r="D51">
        <v>3300</v>
      </c>
      <c r="E51" t="s">
        <v>23</v>
      </c>
      <c r="F51">
        <v>120</v>
      </c>
      <c r="G51">
        <v>500</v>
      </c>
      <c r="H51">
        <v>18</v>
      </c>
      <c r="I51" t="s">
        <v>63</v>
      </c>
      <c r="J51">
        <v>5</v>
      </c>
      <c r="K51">
        <v>1.5</v>
      </c>
      <c r="L51">
        <v>1.5</v>
      </c>
      <c r="M51">
        <v>6</v>
      </c>
      <c r="N51">
        <v>16</v>
      </c>
      <c r="O51" t="s">
        <v>86</v>
      </c>
      <c r="P51">
        <v>1.2</v>
      </c>
      <c r="Q51">
        <f>Table1[[#This Row],[Damage Mult]]*Table1[[#This Row],[RPM]]</f>
        <v>600</v>
      </c>
      <c r="R51">
        <f>Table1[[#This Row],[Durability]]/Table1[[#This Row],[RPM]]</f>
        <v>6.6</v>
      </c>
      <c r="T51">
        <v>1</v>
      </c>
      <c r="U51">
        <v>12</v>
      </c>
      <c r="V51">
        <v>3</v>
      </c>
      <c r="W51">
        <v>5</v>
      </c>
      <c r="X51">
        <v>12</v>
      </c>
      <c r="Y51">
        <v>0</v>
      </c>
      <c r="Z51">
        <v>900</v>
      </c>
      <c r="AA51">
        <v>0.25</v>
      </c>
      <c r="AB51">
        <f>Table1[[#This Row],[Kick Power 50bmg]]*Table1[[#This Row],[RPM]]</f>
        <v>6000</v>
      </c>
      <c r="AC51">
        <v>500</v>
      </c>
      <c r="AD51">
        <f>(Table1[[#This Row],[Accurate RPM]]-Table1[[#This Row],[RPM]])/Table1[[#This Row],[RPM]]</f>
        <v>0</v>
      </c>
    </row>
    <row r="52" spans="1:30" x14ac:dyDescent="0.25">
      <c r="A52" t="s">
        <v>41</v>
      </c>
      <c r="B52" t="s">
        <v>22</v>
      </c>
      <c r="C52">
        <v>2500</v>
      </c>
      <c r="D52">
        <v>3600</v>
      </c>
      <c r="E52" t="s">
        <v>30</v>
      </c>
      <c r="F52">
        <v>80</v>
      </c>
      <c r="G52" t="s">
        <v>42</v>
      </c>
      <c r="H52">
        <v>18</v>
      </c>
      <c r="I52" t="s">
        <v>43</v>
      </c>
      <c r="J52">
        <v>0</v>
      </c>
      <c r="K52">
        <v>1.5</v>
      </c>
      <c r="L52">
        <v>1.5</v>
      </c>
      <c r="M52" t="s">
        <v>121</v>
      </c>
      <c r="N52">
        <v>5</v>
      </c>
      <c r="O52" t="s">
        <v>46</v>
      </c>
      <c r="P52">
        <v>1.6</v>
      </c>
      <c r="Q52" t="e">
        <f>Table1[[#This Row],[Damage Mult]]*Table1[[#This Row],[RPM]]</f>
        <v>#VALUE!</v>
      </c>
      <c r="R52" t="e">
        <f>Table1[[#This Row],[Durability]]/Table1[[#This Row],[RPM]]</f>
        <v>#VALUE!</v>
      </c>
      <c r="T52">
        <v>0.1</v>
      </c>
      <c r="U52">
        <v>1.1000000000000001</v>
      </c>
      <c r="V52">
        <v>0.35</v>
      </c>
      <c r="W52">
        <v>0.8</v>
      </c>
      <c r="X52">
        <v>1.4</v>
      </c>
      <c r="Y52">
        <v>0</v>
      </c>
      <c r="Z52">
        <v>750</v>
      </c>
      <c r="AA52">
        <v>0.2</v>
      </c>
      <c r="AB52" t="e">
        <f>Table1[[#This Row],[Kick Power 50bmg]]*Table1[[#This Row],[RPM]]</f>
        <v>#VALUE!</v>
      </c>
      <c r="AC52" t="s">
        <v>135</v>
      </c>
      <c r="AD52" t="e">
        <f>(Table1[[#This Row],[Accurate RPM]]-Table1[[#This Row],[RPM]])/Table1[[#This Row],[RPM]]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81E6-BBEE-4FCA-B4AA-95FBF502042F}">
  <dimension ref="A1:V52"/>
  <sheetViews>
    <sheetView zoomScale="78" workbookViewId="0">
      <selection activeCell="Q1" sqref="Q1:V1"/>
    </sheetView>
  </sheetViews>
  <sheetFormatPr defaultRowHeight="15" x14ac:dyDescent="0.25"/>
  <cols>
    <col min="1" max="1" width="9.140625" customWidth="1"/>
    <col min="6" max="6" width="16.28515625" customWidth="1"/>
    <col min="9" max="9" width="24.7109375" bestFit="1" customWidth="1"/>
    <col min="10" max="10" width="8.42578125" customWidth="1"/>
    <col min="12" max="12" width="11.7109375" bestFit="1" customWidth="1"/>
    <col min="13" max="13" width="12.5703125" bestFit="1" customWidth="1"/>
    <col min="15" max="15" width="11.85546875" bestFit="1" customWidth="1"/>
    <col min="16" max="16" width="11.42578125" bestFit="1" customWidth="1"/>
    <col min="17" max="20" width="15.5703125" bestFit="1" customWidth="1"/>
    <col min="21" max="22" width="17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119</v>
      </c>
      <c r="M1" t="s">
        <v>120</v>
      </c>
      <c r="N1" t="s">
        <v>11</v>
      </c>
      <c r="O1" t="s">
        <v>44</v>
      </c>
      <c r="P1" t="s">
        <v>122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</row>
    <row r="2" spans="1:22" x14ac:dyDescent="0.25">
      <c r="A2" t="s">
        <v>12</v>
      </c>
      <c r="B2" t="s">
        <v>13</v>
      </c>
      <c r="C2">
        <v>1</v>
      </c>
      <c r="D2">
        <v>2000</v>
      </c>
      <c r="E2" t="s">
        <v>14</v>
      </c>
      <c r="F2">
        <v>60</v>
      </c>
      <c r="G2">
        <v>450</v>
      </c>
      <c r="H2">
        <v>7</v>
      </c>
      <c r="I2" t="s">
        <v>15</v>
      </c>
      <c r="J2">
        <v>2</v>
      </c>
      <c r="K2">
        <v>2</v>
      </c>
      <c r="L2">
        <v>6</v>
      </c>
      <c r="M2">
        <v>2</v>
      </c>
      <c r="N2">
        <v>5</v>
      </c>
      <c r="O2" t="s">
        <v>45</v>
      </c>
    </row>
    <row r="3" spans="1:22" x14ac:dyDescent="0.25">
      <c r="A3" t="s">
        <v>16</v>
      </c>
      <c r="B3" t="s">
        <v>13</v>
      </c>
      <c r="C3">
        <v>950</v>
      </c>
      <c r="D3">
        <v>2200</v>
      </c>
      <c r="E3" t="s">
        <v>14</v>
      </c>
      <c r="F3">
        <v>60</v>
      </c>
      <c r="G3">
        <v>600</v>
      </c>
      <c r="H3">
        <v>12</v>
      </c>
      <c r="I3" t="s">
        <v>15</v>
      </c>
      <c r="J3">
        <v>2</v>
      </c>
      <c r="K3">
        <v>2</v>
      </c>
      <c r="L3">
        <v>7</v>
      </c>
      <c r="M3">
        <v>2</v>
      </c>
      <c r="N3">
        <v>5</v>
      </c>
      <c r="O3" t="s">
        <v>45</v>
      </c>
    </row>
    <row r="4" spans="1:22" x14ac:dyDescent="0.25">
      <c r="A4" t="s">
        <v>17</v>
      </c>
      <c r="B4" t="s">
        <v>13</v>
      </c>
      <c r="C4">
        <v>1250</v>
      </c>
      <c r="D4">
        <v>2100</v>
      </c>
      <c r="E4" t="s">
        <v>14</v>
      </c>
      <c r="F4">
        <v>60</v>
      </c>
      <c r="G4">
        <v>600</v>
      </c>
      <c r="H4">
        <v>30</v>
      </c>
      <c r="I4" t="s">
        <v>15</v>
      </c>
      <c r="J4">
        <v>2</v>
      </c>
      <c r="K4">
        <v>2.5</v>
      </c>
      <c r="L4">
        <v>7</v>
      </c>
      <c r="M4">
        <v>2.5</v>
      </c>
      <c r="N4">
        <v>5</v>
      </c>
      <c r="O4" t="s">
        <v>45</v>
      </c>
    </row>
    <row r="5" spans="1:22" x14ac:dyDescent="0.25">
      <c r="A5" t="s">
        <v>18</v>
      </c>
      <c r="B5" t="s">
        <v>13</v>
      </c>
      <c r="C5">
        <v>500</v>
      </c>
      <c r="D5">
        <v>3000</v>
      </c>
      <c r="E5" t="s">
        <v>19</v>
      </c>
      <c r="F5">
        <v>80</v>
      </c>
      <c r="G5">
        <v>300</v>
      </c>
      <c r="H5">
        <v>7</v>
      </c>
      <c r="I5" t="s">
        <v>15</v>
      </c>
      <c r="J5">
        <v>4</v>
      </c>
      <c r="K5">
        <v>2</v>
      </c>
      <c r="L5">
        <v>6</v>
      </c>
      <c r="M5">
        <v>2</v>
      </c>
      <c r="N5">
        <v>5</v>
      </c>
      <c r="O5" t="s">
        <v>45</v>
      </c>
    </row>
    <row r="6" spans="1:22" x14ac:dyDescent="0.25">
      <c r="A6" t="s">
        <v>20</v>
      </c>
      <c r="B6" t="s">
        <v>13</v>
      </c>
      <c r="C6">
        <v>900</v>
      </c>
      <c r="D6">
        <v>2250</v>
      </c>
      <c r="E6" t="s">
        <v>14</v>
      </c>
      <c r="F6">
        <v>60</v>
      </c>
      <c r="G6">
        <v>800</v>
      </c>
      <c r="H6">
        <v>26</v>
      </c>
      <c r="I6" t="s">
        <v>15</v>
      </c>
      <c r="J6">
        <v>3</v>
      </c>
      <c r="K6">
        <v>3</v>
      </c>
      <c r="L6">
        <v>6</v>
      </c>
      <c r="M6">
        <v>3</v>
      </c>
      <c r="N6">
        <v>8</v>
      </c>
      <c r="O6" t="s">
        <v>45</v>
      </c>
    </row>
    <row r="7" spans="1:22" x14ac:dyDescent="0.25">
      <c r="A7" t="s">
        <v>21</v>
      </c>
      <c r="B7" t="s">
        <v>22</v>
      </c>
      <c r="C7">
        <v>2500</v>
      </c>
      <c r="D7">
        <v>2000</v>
      </c>
      <c r="E7" t="s">
        <v>23</v>
      </c>
      <c r="F7">
        <v>120</v>
      </c>
      <c r="G7">
        <v>170</v>
      </c>
      <c r="H7">
        <v>8</v>
      </c>
      <c r="I7" t="s">
        <v>15</v>
      </c>
      <c r="J7">
        <v>15</v>
      </c>
      <c r="K7">
        <v>1.5</v>
      </c>
      <c r="L7">
        <v>5</v>
      </c>
      <c r="M7">
        <v>1.5</v>
      </c>
      <c r="N7">
        <v>5</v>
      </c>
      <c r="O7" t="s">
        <v>45</v>
      </c>
    </row>
    <row r="8" spans="1:22" x14ac:dyDescent="0.25">
      <c r="A8" t="s">
        <v>24</v>
      </c>
      <c r="B8" t="s">
        <v>22</v>
      </c>
      <c r="C8">
        <v>750</v>
      </c>
      <c r="D8">
        <v>2500</v>
      </c>
      <c r="E8" t="s">
        <v>14</v>
      </c>
      <c r="F8">
        <v>90</v>
      </c>
      <c r="G8">
        <v>80</v>
      </c>
      <c r="H8">
        <v>10</v>
      </c>
      <c r="I8" t="s">
        <v>25</v>
      </c>
      <c r="J8">
        <v>4</v>
      </c>
      <c r="K8">
        <v>2</v>
      </c>
      <c r="L8">
        <v>5</v>
      </c>
      <c r="M8">
        <v>2</v>
      </c>
      <c r="N8">
        <v>5</v>
      </c>
      <c r="O8" t="s">
        <v>45</v>
      </c>
    </row>
    <row r="9" spans="1:22" x14ac:dyDescent="0.25">
      <c r="A9" t="s">
        <v>26</v>
      </c>
      <c r="B9" t="s">
        <v>27</v>
      </c>
      <c r="C9">
        <v>1000</v>
      </c>
      <c r="D9">
        <v>800</v>
      </c>
      <c r="E9" t="s">
        <v>14</v>
      </c>
      <c r="F9">
        <v>60</v>
      </c>
      <c r="G9">
        <v>200</v>
      </c>
      <c r="H9">
        <v>5</v>
      </c>
      <c r="I9" t="s">
        <v>15</v>
      </c>
      <c r="J9">
        <v>10</v>
      </c>
      <c r="K9">
        <v>3</v>
      </c>
      <c r="L9">
        <v>6</v>
      </c>
      <c r="M9">
        <v>3</v>
      </c>
      <c r="N9">
        <v>0</v>
      </c>
      <c r="O9" t="s">
        <v>45</v>
      </c>
    </row>
    <row r="10" spans="1:22" x14ac:dyDescent="0.25">
      <c r="A10" t="s">
        <v>28</v>
      </c>
      <c r="B10" t="s">
        <v>29</v>
      </c>
      <c r="C10">
        <v>1400</v>
      </c>
      <c r="D10">
        <v>4000</v>
      </c>
      <c r="E10" t="s">
        <v>30</v>
      </c>
      <c r="F10">
        <v>50</v>
      </c>
      <c r="G10">
        <v>600</v>
      </c>
      <c r="H10">
        <v>10</v>
      </c>
      <c r="I10" t="s">
        <v>15</v>
      </c>
      <c r="J10">
        <v>0</v>
      </c>
      <c r="K10">
        <v>1</v>
      </c>
      <c r="L10" t="s">
        <v>121</v>
      </c>
      <c r="M10">
        <v>1</v>
      </c>
      <c r="N10">
        <v>5</v>
      </c>
      <c r="O10" t="s">
        <v>45</v>
      </c>
    </row>
    <row r="11" spans="1:22" x14ac:dyDescent="0.25">
      <c r="A11" t="s">
        <v>31</v>
      </c>
      <c r="B11" t="s">
        <v>22</v>
      </c>
      <c r="C11">
        <v>1500</v>
      </c>
      <c r="D11">
        <v>2000</v>
      </c>
      <c r="E11" t="s">
        <v>23</v>
      </c>
      <c r="F11" t="s">
        <v>35</v>
      </c>
      <c r="G11">
        <v>450</v>
      </c>
      <c r="H11">
        <v>14</v>
      </c>
      <c r="I11" t="s">
        <v>15</v>
      </c>
      <c r="J11">
        <v>12</v>
      </c>
      <c r="K11">
        <v>2.5</v>
      </c>
      <c r="L11">
        <v>7</v>
      </c>
      <c r="M11">
        <v>2.5</v>
      </c>
      <c r="N11">
        <v>5</v>
      </c>
      <c r="O11" t="s">
        <v>45</v>
      </c>
    </row>
    <row r="12" spans="1:22" x14ac:dyDescent="0.25">
      <c r="A12" t="s">
        <v>32</v>
      </c>
      <c r="B12" t="s">
        <v>13</v>
      </c>
      <c r="C12">
        <v>2000</v>
      </c>
      <c r="D12">
        <v>2700</v>
      </c>
      <c r="E12" t="s">
        <v>14</v>
      </c>
      <c r="F12">
        <v>60</v>
      </c>
      <c r="G12">
        <v>400</v>
      </c>
      <c r="H12">
        <v>30</v>
      </c>
      <c r="I12" t="s">
        <v>33</v>
      </c>
      <c r="J12">
        <v>1</v>
      </c>
      <c r="K12">
        <v>3</v>
      </c>
      <c r="L12">
        <v>8</v>
      </c>
      <c r="M12">
        <v>3</v>
      </c>
      <c r="N12">
        <v>5</v>
      </c>
      <c r="O12" t="s">
        <v>45</v>
      </c>
    </row>
    <row r="13" spans="1:22" x14ac:dyDescent="0.25">
      <c r="A13" t="s">
        <v>34</v>
      </c>
      <c r="B13" t="s">
        <v>13</v>
      </c>
      <c r="C13">
        <v>1500</v>
      </c>
      <c r="D13">
        <v>3700</v>
      </c>
      <c r="E13" t="s">
        <v>19</v>
      </c>
      <c r="F13">
        <v>104</v>
      </c>
      <c r="G13">
        <v>800</v>
      </c>
      <c r="H13">
        <v>14</v>
      </c>
      <c r="I13" t="s">
        <v>15</v>
      </c>
      <c r="J13">
        <v>5</v>
      </c>
      <c r="K13">
        <v>2.5</v>
      </c>
      <c r="L13">
        <v>6</v>
      </c>
      <c r="M13">
        <v>2.5</v>
      </c>
      <c r="N13">
        <v>5</v>
      </c>
      <c r="O13" t="s">
        <v>45</v>
      </c>
    </row>
    <row r="14" spans="1:22" ht="15.75" customHeight="1" x14ac:dyDescent="0.25">
      <c r="A14" t="s">
        <v>36</v>
      </c>
      <c r="B14" t="s">
        <v>13</v>
      </c>
      <c r="C14">
        <v>250</v>
      </c>
      <c r="D14">
        <v>3300</v>
      </c>
      <c r="E14" t="s">
        <v>14</v>
      </c>
      <c r="F14">
        <v>96</v>
      </c>
      <c r="G14">
        <v>80</v>
      </c>
      <c r="H14">
        <v>6</v>
      </c>
      <c r="I14" t="s">
        <v>37</v>
      </c>
      <c r="J14">
        <v>5</v>
      </c>
      <c r="K14">
        <v>2.5</v>
      </c>
      <c r="L14">
        <v>7</v>
      </c>
      <c r="M14">
        <v>2.5</v>
      </c>
      <c r="N14">
        <v>5</v>
      </c>
      <c r="O14" t="s">
        <v>46</v>
      </c>
    </row>
    <row r="15" spans="1:22" x14ac:dyDescent="0.25">
      <c r="A15" t="s">
        <v>38</v>
      </c>
      <c r="B15" t="s">
        <v>22</v>
      </c>
      <c r="C15">
        <v>1500</v>
      </c>
      <c r="D15">
        <v>2800</v>
      </c>
      <c r="E15" t="s">
        <v>19</v>
      </c>
      <c r="F15">
        <v>128</v>
      </c>
      <c r="G15">
        <v>80</v>
      </c>
      <c r="H15">
        <v>7</v>
      </c>
      <c r="I15" t="s">
        <v>37</v>
      </c>
      <c r="J15">
        <v>9</v>
      </c>
      <c r="K15">
        <v>2</v>
      </c>
      <c r="L15">
        <v>5</v>
      </c>
      <c r="M15">
        <v>2</v>
      </c>
      <c r="N15">
        <v>5</v>
      </c>
      <c r="O15" t="s">
        <v>46</v>
      </c>
    </row>
    <row r="16" spans="1:22" x14ac:dyDescent="0.25">
      <c r="A16" t="s">
        <v>39</v>
      </c>
      <c r="B16" t="s">
        <v>22</v>
      </c>
      <c r="C16">
        <v>1600</v>
      </c>
      <c r="D16">
        <v>2500</v>
      </c>
      <c r="E16" t="s">
        <v>23</v>
      </c>
      <c r="F16">
        <v>160</v>
      </c>
      <c r="G16">
        <v>80</v>
      </c>
      <c r="H16">
        <v>4</v>
      </c>
      <c r="I16" t="s">
        <v>40</v>
      </c>
      <c r="J16">
        <v>20</v>
      </c>
      <c r="K16">
        <v>2</v>
      </c>
      <c r="L16">
        <v>5</v>
      </c>
      <c r="M16">
        <v>2</v>
      </c>
      <c r="N16">
        <v>5</v>
      </c>
      <c r="O16" t="s">
        <v>46</v>
      </c>
    </row>
    <row r="17" spans="1:15" x14ac:dyDescent="0.25">
      <c r="A17" t="s">
        <v>41</v>
      </c>
      <c r="B17" t="s">
        <v>22</v>
      </c>
      <c r="C17">
        <v>2500</v>
      </c>
      <c r="D17">
        <v>3600</v>
      </c>
      <c r="E17" t="s">
        <v>30</v>
      </c>
      <c r="F17">
        <v>80</v>
      </c>
      <c r="G17" t="s">
        <v>42</v>
      </c>
      <c r="H17">
        <v>18</v>
      </c>
      <c r="I17" t="s">
        <v>43</v>
      </c>
      <c r="J17">
        <v>0</v>
      </c>
      <c r="K17">
        <v>1.5</v>
      </c>
      <c r="L17" t="s">
        <v>121</v>
      </c>
      <c r="M17">
        <v>1.5</v>
      </c>
      <c r="N17">
        <v>5</v>
      </c>
      <c r="O17" t="s">
        <v>46</v>
      </c>
    </row>
    <row r="18" spans="1:15" x14ac:dyDescent="0.25">
      <c r="A18" t="s">
        <v>47</v>
      </c>
      <c r="B18" t="s">
        <v>48</v>
      </c>
      <c r="C18">
        <v>950</v>
      </c>
      <c r="D18">
        <v>1200</v>
      </c>
      <c r="E18" t="s">
        <v>49</v>
      </c>
      <c r="F18" t="s">
        <v>50</v>
      </c>
      <c r="G18" t="s">
        <v>51</v>
      </c>
      <c r="H18">
        <v>8</v>
      </c>
      <c r="I18" t="s">
        <v>52</v>
      </c>
      <c r="J18">
        <v>20</v>
      </c>
      <c r="K18">
        <v>10</v>
      </c>
      <c r="L18">
        <v>10</v>
      </c>
      <c r="M18">
        <v>2</v>
      </c>
      <c r="N18">
        <v>35</v>
      </c>
      <c r="O18" t="s">
        <v>65</v>
      </c>
    </row>
    <row r="19" spans="1:15" x14ac:dyDescent="0.25">
      <c r="A19" t="s">
        <v>53</v>
      </c>
      <c r="B19" t="s">
        <v>22</v>
      </c>
      <c r="C19">
        <v>750</v>
      </c>
      <c r="D19">
        <v>2400</v>
      </c>
      <c r="E19" t="s">
        <v>49</v>
      </c>
      <c r="F19" t="s">
        <v>54</v>
      </c>
      <c r="G19">
        <v>80</v>
      </c>
      <c r="H19">
        <v>6</v>
      </c>
      <c r="I19" t="s">
        <v>55</v>
      </c>
      <c r="J19">
        <v>15</v>
      </c>
      <c r="K19">
        <v>5</v>
      </c>
      <c r="L19">
        <v>5</v>
      </c>
      <c r="M19">
        <v>1</v>
      </c>
      <c r="N19">
        <v>16</v>
      </c>
      <c r="O19" t="s">
        <v>65</v>
      </c>
    </row>
    <row r="20" spans="1:15" x14ac:dyDescent="0.25">
      <c r="A20" t="s">
        <v>56</v>
      </c>
      <c r="B20" t="s">
        <v>22</v>
      </c>
      <c r="C20">
        <v>300</v>
      </c>
      <c r="D20">
        <v>1800</v>
      </c>
      <c r="E20" t="s">
        <v>49</v>
      </c>
      <c r="F20" t="s">
        <v>57</v>
      </c>
      <c r="G20">
        <v>45</v>
      </c>
      <c r="H20">
        <v>3</v>
      </c>
      <c r="I20" t="s">
        <v>58</v>
      </c>
      <c r="J20">
        <v>30</v>
      </c>
      <c r="K20">
        <v>10</v>
      </c>
      <c r="L20">
        <v>10</v>
      </c>
      <c r="M20">
        <v>2</v>
      </c>
      <c r="N20">
        <v>8</v>
      </c>
      <c r="O20" t="s">
        <v>65</v>
      </c>
    </row>
    <row r="21" spans="1:15" x14ac:dyDescent="0.25">
      <c r="A21" t="s">
        <v>59</v>
      </c>
      <c r="B21" t="s">
        <v>48</v>
      </c>
      <c r="C21">
        <v>1500</v>
      </c>
      <c r="D21">
        <v>1800</v>
      </c>
      <c r="E21" t="s">
        <v>30</v>
      </c>
      <c r="F21" t="s">
        <v>60</v>
      </c>
      <c r="G21">
        <v>45</v>
      </c>
      <c r="H21">
        <v>6</v>
      </c>
      <c r="I21" t="s">
        <v>58</v>
      </c>
      <c r="J21">
        <v>0</v>
      </c>
      <c r="K21">
        <v>4</v>
      </c>
      <c r="L21">
        <v>4</v>
      </c>
      <c r="M21" t="s">
        <v>121</v>
      </c>
      <c r="N21">
        <v>16</v>
      </c>
      <c r="O21" t="s">
        <v>65</v>
      </c>
    </row>
    <row r="22" spans="1:15" x14ac:dyDescent="0.25">
      <c r="A22" t="s">
        <v>61</v>
      </c>
      <c r="B22" t="s">
        <v>48</v>
      </c>
      <c r="C22">
        <v>600</v>
      </c>
      <c r="D22">
        <v>2500</v>
      </c>
      <c r="E22" t="s">
        <v>49</v>
      </c>
      <c r="F22" t="s">
        <v>54</v>
      </c>
      <c r="G22">
        <v>500</v>
      </c>
      <c r="H22">
        <v>2</v>
      </c>
      <c r="I22" t="s">
        <v>58</v>
      </c>
      <c r="J22">
        <v>10</v>
      </c>
      <c r="K22">
        <v>4</v>
      </c>
      <c r="L22">
        <v>4</v>
      </c>
      <c r="M22">
        <v>1</v>
      </c>
      <c r="N22">
        <v>16</v>
      </c>
      <c r="O22" t="s">
        <v>65</v>
      </c>
    </row>
    <row r="23" spans="1:15" x14ac:dyDescent="0.25">
      <c r="A23" t="s">
        <v>62</v>
      </c>
      <c r="B23" t="s">
        <v>22</v>
      </c>
      <c r="C23">
        <v>1750</v>
      </c>
      <c r="D23">
        <v>2100</v>
      </c>
      <c r="E23" t="s">
        <v>49</v>
      </c>
      <c r="F23" t="s">
        <v>54</v>
      </c>
      <c r="G23">
        <v>470</v>
      </c>
      <c r="H23">
        <v>10</v>
      </c>
      <c r="I23" t="s">
        <v>63</v>
      </c>
      <c r="J23">
        <v>17</v>
      </c>
      <c r="K23">
        <v>7</v>
      </c>
      <c r="L23">
        <v>7</v>
      </c>
      <c r="M23">
        <v>2.5</v>
      </c>
      <c r="N23">
        <v>8</v>
      </c>
      <c r="O23" t="s">
        <v>65</v>
      </c>
    </row>
    <row r="24" spans="1:15" x14ac:dyDescent="0.25">
      <c r="A24" t="s">
        <v>64</v>
      </c>
      <c r="B24" t="s">
        <v>22</v>
      </c>
      <c r="C24">
        <v>4000</v>
      </c>
      <c r="D24">
        <v>2200</v>
      </c>
      <c r="E24" t="s">
        <v>49</v>
      </c>
      <c r="F24" t="s">
        <v>54</v>
      </c>
      <c r="G24">
        <v>350</v>
      </c>
      <c r="H24">
        <v>6</v>
      </c>
      <c r="I24" t="s">
        <v>15</v>
      </c>
      <c r="J24">
        <v>17</v>
      </c>
      <c r="K24">
        <v>3.5</v>
      </c>
      <c r="L24">
        <v>3.5</v>
      </c>
      <c r="M24">
        <v>1</v>
      </c>
      <c r="N24">
        <v>16</v>
      </c>
      <c r="O24" t="s">
        <v>65</v>
      </c>
    </row>
    <row r="25" spans="1:15" x14ac:dyDescent="0.25">
      <c r="A25" t="s">
        <v>66</v>
      </c>
      <c r="B25" t="s">
        <v>13</v>
      </c>
      <c r="C25">
        <v>250</v>
      </c>
      <c r="D25">
        <v>3300</v>
      </c>
      <c r="E25" t="s">
        <v>14</v>
      </c>
      <c r="F25">
        <v>60</v>
      </c>
      <c r="G25">
        <v>350</v>
      </c>
      <c r="H25">
        <v>20</v>
      </c>
      <c r="I25" t="s">
        <v>63</v>
      </c>
      <c r="J25">
        <v>2</v>
      </c>
      <c r="K25">
        <v>3</v>
      </c>
      <c r="L25">
        <v>6</v>
      </c>
      <c r="M25">
        <v>3</v>
      </c>
      <c r="N25">
        <v>8</v>
      </c>
      <c r="O25" t="s">
        <v>76</v>
      </c>
    </row>
    <row r="26" spans="1:15" x14ac:dyDescent="0.25">
      <c r="A26" t="s">
        <v>67</v>
      </c>
      <c r="B26" t="s">
        <v>22</v>
      </c>
      <c r="C26">
        <v>1500</v>
      </c>
      <c r="D26">
        <v>3900</v>
      </c>
      <c r="E26" t="s">
        <v>14</v>
      </c>
      <c r="F26">
        <v>60</v>
      </c>
      <c r="G26">
        <v>800</v>
      </c>
      <c r="H26">
        <v>30</v>
      </c>
      <c r="I26" t="s">
        <v>63</v>
      </c>
      <c r="J26">
        <v>2</v>
      </c>
      <c r="K26">
        <v>2.5</v>
      </c>
      <c r="L26">
        <v>7</v>
      </c>
      <c r="M26">
        <v>2.5</v>
      </c>
      <c r="N26">
        <v>8</v>
      </c>
      <c r="O26" t="s">
        <v>76</v>
      </c>
    </row>
    <row r="27" spans="1:15" x14ac:dyDescent="0.25">
      <c r="A27" t="s">
        <v>68</v>
      </c>
      <c r="B27" t="s">
        <v>13</v>
      </c>
      <c r="C27">
        <v>455</v>
      </c>
      <c r="D27">
        <v>3900</v>
      </c>
      <c r="E27" t="s">
        <v>14</v>
      </c>
      <c r="F27">
        <v>60</v>
      </c>
      <c r="G27">
        <v>1500</v>
      </c>
      <c r="H27">
        <v>40</v>
      </c>
      <c r="I27" t="s">
        <v>63</v>
      </c>
      <c r="J27">
        <v>3</v>
      </c>
      <c r="K27">
        <v>5</v>
      </c>
      <c r="L27">
        <v>7</v>
      </c>
      <c r="M27">
        <v>5</v>
      </c>
      <c r="N27">
        <v>8</v>
      </c>
      <c r="O27" t="s">
        <v>76</v>
      </c>
    </row>
    <row r="28" spans="1:15" x14ac:dyDescent="0.25">
      <c r="A28" t="s">
        <v>69</v>
      </c>
      <c r="B28" t="s">
        <v>22</v>
      </c>
      <c r="C28">
        <v>4500</v>
      </c>
      <c r="D28">
        <v>2000</v>
      </c>
      <c r="E28" t="s">
        <v>70</v>
      </c>
      <c r="F28">
        <v>300</v>
      </c>
      <c r="G28">
        <v>580</v>
      </c>
      <c r="H28">
        <v>20</v>
      </c>
      <c r="I28" t="s">
        <v>71</v>
      </c>
      <c r="J28">
        <v>12</v>
      </c>
      <c r="K28">
        <v>2</v>
      </c>
      <c r="L28">
        <v>5</v>
      </c>
      <c r="M28">
        <v>2</v>
      </c>
      <c r="N28">
        <v>16</v>
      </c>
      <c r="O28" t="s">
        <v>76</v>
      </c>
    </row>
    <row r="29" spans="1:15" x14ac:dyDescent="0.25">
      <c r="A29" t="s">
        <v>72</v>
      </c>
      <c r="B29" t="s">
        <v>22</v>
      </c>
      <c r="C29">
        <v>700</v>
      </c>
      <c r="D29">
        <v>3000</v>
      </c>
      <c r="E29" t="s">
        <v>14</v>
      </c>
      <c r="F29">
        <v>66</v>
      </c>
      <c r="G29">
        <v>800</v>
      </c>
      <c r="H29">
        <v>30</v>
      </c>
      <c r="I29" t="s">
        <v>33</v>
      </c>
      <c r="J29">
        <v>1</v>
      </c>
      <c r="K29">
        <v>2.5</v>
      </c>
      <c r="L29">
        <v>7</v>
      </c>
      <c r="M29">
        <v>2.5</v>
      </c>
      <c r="N29">
        <v>8</v>
      </c>
      <c r="O29" t="s">
        <v>76</v>
      </c>
    </row>
    <row r="30" spans="1:15" x14ac:dyDescent="0.25">
      <c r="A30" t="s">
        <v>73</v>
      </c>
      <c r="B30" t="s">
        <v>22</v>
      </c>
      <c r="C30">
        <v>1600</v>
      </c>
      <c r="D30">
        <v>3600</v>
      </c>
      <c r="E30" t="s">
        <v>19</v>
      </c>
      <c r="F30">
        <v>80</v>
      </c>
      <c r="G30">
        <v>450</v>
      </c>
      <c r="H30">
        <v>15</v>
      </c>
      <c r="I30" t="s">
        <v>15</v>
      </c>
      <c r="J30">
        <v>2.5</v>
      </c>
      <c r="K30">
        <v>2</v>
      </c>
      <c r="L30">
        <v>6</v>
      </c>
      <c r="M30">
        <v>2</v>
      </c>
      <c r="N30">
        <v>8</v>
      </c>
      <c r="O30" t="s">
        <v>76</v>
      </c>
    </row>
    <row r="31" spans="1:15" x14ac:dyDescent="0.25">
      <c r="A31" t="s">
        <v>74</v>
      </c>
      <c r="B31" t="s">
        <v>13</v>
      </c>
      <c r="C31">
        <v>2400</v>
      </c>
      <c r="D31">
        <v>3000</v>
      </c>
      <c r="E31" t="s">
        <v>14</v>
      </c>
      <c r="F31">
        <v>72</v>
      </c>
      <c r="G31">
        <v>600</v>
      </c>
      <c r="H31">
        <v>24</v>
      </c>
      <c r="I31" t="s">
        <v>63</v>
      </c>
      <c r="J31">
        <v>2</v>
      </c>
      <c r="K31">
        <v>2.5</v>
      </c>
      <c r="L31">
        <v>7</v>
      </c>
      <c r="M31">
        <v>2.5</v>
      </c>
      <c r="N31">
        <v>8</v>
      </c>
      <c r="O31" t="s">
        <v>76</v>
      </c>
    </row>
    <row r="32" spans="1:15" x14ac:dyDescent="0.25">
      <c r="A32" t="s">
        <v>75</v>
      </c>
      <c r="B32" t="s">
        <v>13</v>
      </c>
      <c r="C32">
        <v>3250</v>
      </c>
      <c r="D32">
        <v>4700</v>
      </c>
      <c r="E32" t="s">
        <v>14</v>
      </c>
      <c r="F32">
        <v>60</v>
      </c>
      <c r="G32">
        <v>950</v>
      </c>
      <c r="H32">
        <v>40</v>
      </c>
      <c r="I32" t="s">
        <v>63</v>
      </c>
      <c r="J32">
        <v>2.5</v>
      </c>
      <c r="K32">
        <v>3.5</v>
      </c>
      <c r="L32">
        <v>7</v>
      </c>
      <c r="M32">
        <v>3.5</v>
      </c>
      <c r="N32">
        <v>8</v>
      </c>
      <c r="O32" t="s">
        <v>76</v>
      </c>
    </row>
    <row r="33" spans="1:15" x14ac:dyDescent="0.25">
      <c r="A33" t="s">
        <v>77</v>
      </c>
      <c r="B33" t="s">
        <v>22</v>
      </c>
      <c r="C33">
        <v>2000</v>
      </c>
      <c r="D33">
        <v>3200</v>
      </c>
      <c r="E33" t="s">
        <v>19</v>
      </c>
      <c r="F33">
        <v>96</v>
      </c>
      <c r="G33">
        <v>666</v>
      </c>
      <c r="H33">
        <v>30</v>
      </c>
      <c r="I33" t="s">
        <v>78</v>
      </c>
      <c r="J33">
        <v>3</v>
      </c>
      <c r="K33">
        <v>2.5</v>
      </c>
      <c r="L33">
        <v>6</v>
      </c>
      <c r="M33">
        <v>2.5</v>
      </c>
      <c r="N33">
        <v>16</v>
      </c>
      <c r="O33" t="s">
        <v>86</v>
      </c>
    </row>
    <row r="34" spans="1:15" x14ac:dyDescent="0.25">
      <c r="A34" t="s">
        <v>79</v>
      </c>
      <c r="B34" t="s">
        <v>22</v>
      </c>
      <c r="C34">
        <v>4000</v>
      </c>
      <c r="D34">
        <v>3300</v>
      </c>
      <c r="E34" t="s">
        <v>30</v>
      </c>
      <c r="F34">
        <v>60</v>
      </c>
      <c r="G34">
        <v>893</v>
      </c>
      <c r="H34">
        <v>30</v>
      </c>
      <c r="I34" t="s">
        <v>78</v>
      </c>
      <c r="J34">
        <v>0</v>
      </c>
      <c r="K34">
        <v>2.5</v>
      </c>
      <c r="L34" t="s">
        <v>121</v>
      </c>
      <c r="M34">
        <v>2.5</v>
      </c>
      <c r="N34">
        <v>8</v>
      </c>
      <c r="O34" t="s">
        <v>86</v>
      </c>
    </row>
    <row r="35" spans="1:15" x14ac:dyDescent="0.25">
      <c r="A35" t="s">
        <v>80</v>
      </c>
      <c r="B35" t="s">
        <v>81</v>
      </c>
      <c r="C35">
        <v>2500</v>
      </c>
      <c r="D35">
        <v>2700</v>
      </c>
      <c r="E35" t="s">
        <v>23</v>
      </c>
      <c r="F35">
        <v>120</v>
      </c>
      <c r="G35">
        <v>575</v>
      </c>
      <c r="H35">
        <v>20</v>
      </c>
      <c r="I35" t="s">
        <v>78</v>
      </c>
      <c r="J35">
        <v>4</v>
      </c>
      <c r="K35">
        <v>1.5</v>
      </c>
      <c r="L35">
        <v>7</v>
      </c>
      <c r="M35">
        <v>1.5</v>
      </c>
      <c r="N35">
        <v>16</v>
      </c>
      <c r="O35" t="s">
        <v>86</v>
      </c>
    </row>
    <row r="36" spans="1:15" x14ac:dyDescent="0.25">
      <c r="A36" t="s">
        <v>82</v>
      </c>
      <c r="B36" t="s">
        <v>81</v>
      </c>
      <c r="C36">
        <v>3850</v>
      </c>
      <c r="D36">
        <v>3000</v>
      </c>
      <c r="E36" t="s">
        <v>19</v>
      </c>
      <c r="F36">
        <v>96</v>
      </c>
      <c r="G36">
        <v>740</v>
      </c>
      <c r="H36">
        <v>30</v>
      </c>
      <c r="I36" t="s">
        <v>78</v>
      </c>
      <c r="J36">
        <v>2</v>
      </c>
      <c r="K36">
        <v>2</v>
      </c>
      <c r="L36">
        <v>6</v>
      </c>
      <c r="M36">
        <v>2</v>
      </c>
      <c r="N36">
        <v>16</v>
      </c>
      <c r="O36" t="s">
        <v>86</v>
      </c>
    </row>
    <row r="37" spans="1:15" x14ac:dyDescent="0.25">
      <c r="A37" t="s">
        <v>83</v>
      </c>
      <c r="B37" t="s">
        <v>81</v>
      </c>
      <c r="C37">
        <v>3000</v>
      </c>
      <c r="D37">
        <v>3300</v>
      </c>
      <c r="E37" t="s">
        <v>23</v>
      </c>
      <c r="F37">
        <v>120</v>
      </c>
      <c r="G37">
        <v>500</v>
      </c>
      <c r="H37">
        <v>18</v>
      </c>
      <c r="I37" t="s">
        <v>78</v>
      </c>
      <c r="J37">
        <v>5</v>
      </c>
      <c r="K37">
        <v>1.5</v>
      </c>
      <c r="L37">
        <v>6</v>
      </c>
      <c r="M37">
        <v>1.5</v>
      </c>
      <c r="N37">
        <v>16</v>
      </c>
      <c r="O37" t="s">
        <v>86</v>
      </c>
    </row>
    <row r="38" spans="1:15" x14ac:dyDescent="0.25">
      <c r="A38" t="s">
        <v>84</v>
      </c>
      <c r="B38" t="s">
        <v>81</v>
      </c>
      <c r="C38">
        <v>3000</v>
      </c>
      <c r="D38">
        <v>4700</v>
      </c>
      <c r="E38" t="s">
        <v>14</v>
      </c>
      <c r="F38">
        <v>72</v>
      </c>
      <c r="G38">
        <v>900</v>
      </c>
      <c r="H38">
        <v>42</v>
      </c>
      <c r="I38" t="s">
        <v>85</v>
      </c>
      <c r="J38">
        <v>1.5</v>
      </c>
      <c r="K38">
        <v>2</v>
      </c>
      <c r="L38">
        <v>7</v>
      </c>
      <c r="M38">
        <v>2</v>
      </c>
      <c r="N38">
        <v>16</v>
      </c>
      <c r="O38" t="s">
        <v>86</v>
      </c>
    </row>
    <row r="39" spans="1:15" x14ac:dyDescent="0.25">
      <c r="A39" t="s">
        <v>87</v>
      </c>
      <c r="B39" t="s">
        <v>48</v>
      </c>
      <c r="C39">
        <v>4000</v>
      </c>
      <c r="D39">
        <v>3400</v>
      </c>
      <c r="E39" t="s">
        <v>23</v>
      </c>
      <c r="F39">
        <v>100</v>
      </c>
      <c r="G39">
        <v>800</v>
      </c>
      <c r="H39">
        <v>100</v>
      </c>
      <c r="I39" t="s">
        <v>63</v>
      </c>
      <c r="J39">
        <v>2</v>
      </c>
      <c r="K39">
        <v>4</v>
      </c>
      <c r="L39">
        <v>7</v>
      </c>
      <c r="M39">
        <v>4</v>
      </c>
      <c r="N39">
        <v>35</v>
      </c>
      <c r="O39" t="s">
        <v>95</v>
      </c>
    </row>
    <row r="40" spans="1:15" x14ac:dyDescent="0.25">
      <c r="A40" t="s">
        <v>88</v>
      </c>
      <c r="B40" t="s">
        <v>48</v>
      </c>
      <c r="C40">
        <v>4000</v>
      </c>
      <c r="D40">
        <v>2500</v>
      </c>
      <c r="E40" t="s">
        <v>23</v>
      </c>
      <c r="F40">
        <v>100</v>
      </c>
      <c r="G40">
        <v>1400</v>
      </c>
      <c r="H40">
        <v>40</v>
      </c>
      <c r="I40" t="s">
        <v>63</v>
      </c>
      <c r="J40">
        <v>2</v>
      </c>
      <c r="K40">
        <v>4</v>
      </c>
      <c r="L40">
        <v>7</v>
      </c>
      <c r="M40">
        <v>4</v>
      </c>
      <c r="N40">
        <v>16</v>
      </c>
      <c r="O40" t="s">
        <v>95</v>
      </c>
    </row>
    <row r="41" spans="1:15" x14ac:dyDescent="0.25">
      <c r="A41" t="s">
        <v>89</v>
      </c>
      <c r="B41" t="s">
        <v>48</v>
      </c>
      <c r="C41">
        <v>2500</v>
      </c>
      <c r="D41">
        <v>4200</v>
      </c>
      <c r="E41" t="s">
        <v>90</v>
      </c>
      <c r="F41">
        <v>50</v>
      </c>
      <c r="G41" t="s">
        <v>91</v>
      </c>
      <c r="H41">
        <v>100</v>
      </c>
      <c r="I41" t="s">
        <v>63</v>
      </c>
      <c r="J41">
        <v>0</v>
      </c>
      <c r="K41" t="s">
        <v>92</v>
      </c>
      <c r="L41" t="s">
        <v>121</v>
      </c>
      <c r="M41" t="s">
        <v>92</v>
      </c>
      <c r="N41">
        <v>25</v>
      </c>
      <c r="O41" t="s">
        <v>95</v>
      </c>
    </row>
    <row r="42" spans="1:15" x14ac:dyDescent="0.25">
      <c r="A42" t="s">
        <v>93</v>
      </c>
      <c r="B42" t="s">
        <v>48</v>
      </c>
      <c r="C42">
        <v>3500</v>
      </c>
      <c r="D42">
        <v>3500</v>
      </c>
      <c r="E42" t="s">
        <v>19</v>
      </c>
      <c r="F42">
        <v>80</v>
      </c>
      <c r="G42">
        <v>600</v>
      </c>
      <c r="H42">
        <v>55</v>
      </c>
      <c r="I42" t="s">
        <v>63</v>
      </c>
      <c r="J42">
        <v>3</v>
      </c>
      <c r="K42">
        <v>2.5</v>
      </c>
      <c r="L42">
        <v>8</v>
      </c>
      <c r="M42">
        <v>2.5</v>
      </c>
      <c r="N42">
        <v>16</v>
      </c>
      <c r="O42" t="s">
        <v>95</v>
      </c>
    </row>
    <row r="43" spans="1:15" x14ac:dyDescent="0.25">
      <c r="A43" t="s">
        <v>94</v>
      </c>
      <c r="B43" t="s">
        <v>48</v>
      </c>
      <c r="C43">
        <v>1750</v>
      </c>
      <c r="D43">
        <v>3200</v>
      </c>
      <c r="E43" t="s">
        <v>23</v>
      </c>
      <c r="F43">
        <v>120</v>
      </c>
      <c r="G43">
        <v>400</v>
      </c>
      <c r="H43">
        <v>20</v>
      </c>
      <c r="I43" t="s">
        <v>63</v>
      </c>
      <c r="J43">
        <v>3</v>
      </c>
      <c r="K43">
        <v>3</v>
      </c>
      <c r="L43">
        <v>7</v>
      </c>
      <c r="M43">
        <v>3</v>
      </c>
      <c r="N43">
        <v>35</v>
      </c>
      <c r="O43" t="s">
        <v>95</v>
      </c>
    </row>
    <row r="44" spans="1:15" x14ac:dyDescent="0.25">
      <c r="A44" t="s">
        <v>96</v>
      </c>
      <c r="B44" t="s">
        <v>81</v>
      </c>
      <c r="C44">
        <v>750</v>
      </c>
      <c r="D44">
        <v>3000</v>
      </c>
      <c r="E44" t="s">
        <v>14</v>
      </c>
      <c r="F44">
        <v>120</v>
      </c>
      <c r="G44">
        <v>480</v>
      </c>
      <c r="H44">
        <v>1</v>
      </c>
      <c r="I44" t="s">
        <v>97</v>
      </c>
      <c r="J44">
        <v>3</v>
      </c>
      <c r="K44">
        <v>2</v>
      </c>
      <c r="L44">
        <v>5</v>
      </c>
      <c r="M44">
        <v>2</v>
      </c>
      <c r="N44">
        <v>5</v>
      </c>
      <c r="O44" t="s">
        <v>102</v>
      </c>
    </row>
    <row r="45" spans="1:15" x14ac:dyDescent="0.25">
      <c r="A45" t="s">
        <v>98</v>
      </c>
      <c r="B45" t="s">
        <v>48</v>
      </c>
      <c r="C45">
        <v>2500</v>
      </c>
      <c r="D45">
        <v>2200</v>
      </c>
      <c r="E45" t="s">
        <v>23</v>
      </c>
      <c r="F45">
        <v>200</v>
      </c>
      <c r="G45">
        <v>350</v>
      </c>
      <c r="H45">
        <v>6</v>
      </c>
      <c r="I45" t="s">
        <v>99</v>
      </c>
      <c r="J45">
        <v>5</v>
      </c>
      <c r="K45">
        <v>1</v>
      </c>
      <c r="L45">
        <v>5</v>
      </c>
      <c r="M45">
        <v>1</v>
      </c>
      <c r="N45">
        <v>16</v>
      </c>
      <c r="O45" t="s">
        <v>102</v>
      </c>
    </row>
    <row r="46" spans="1:15" x14ac:dyDescent="0.25">
      <c r="A46" t="s">
        <v>100</v>
      </c>
      <c r="B46" t="s">
        <v>81</v>
      </c>
      <c r="C46">
        <v>1750</v>
      </c>
      <c r="D46">
        <v>2800</v>
      </c>
      <c r="E46" t="s">
        <v>19</v>
      </c>
      <c r="F46">
        <v>160</v>
      </c>
      <c r="G46">
        <v>80</v>
      </c>
      <c r="H46">
        <v>8</v>
      </c>
      <c r="I46" t="s">
        <v>37</v>
      </c>
      <c r="J46">
        <v>10</v>
      </c>
      <c r="K46">
        <v>2</v>
      </c>
      <c r="L46">
        <v>5</v>
      </c>
      <c r="M46">
        <v>2</v>
      </c>
      <c r="N46">
        <v>8</v>
      </c>
      <c r="O46" t="s">
        <v>102</v>
      </c>
    </row>
    <row r="47" spans="1:15" x14ac:dyDescent="0.25">
      <c r="A47" t="s">
        <v>101</v>
      </c>
      <c r="B47" t="s">
        <v>13</v>
      </c>
      <c r="C47">
        <v>2750</v>
      </c>
      <c r="D47">
        <v>2000</v>
      </c>
      <c r="E47" t="s">
        <v>19</v>
      </c>
      <c r="F47">
        <v>176</v>
      </c>
      <c r="G47">
        <v>450</v>
      </c>
      <c r="H47">
        <v>8</v>
      </c>
      <c r="I47" t="s">
        <v>99</v>
      </c>
      <c r="J47">
        <v>2.5</v>
      </c>
      <c r="K47">
        <v>2</v>
      </c>
      <c r="L47">
        <v>6</v>
      </c>
      <c r="M47">
        <v>2</v>
      </c>
      <c r="N47">
        <v>16</v>
      </c>
      <c r="O47" t="s">
        <v>102</v>
      </c>
    </row>
    <row r="48" spans="1:15" x14ac:dyDescent="0.25">
      <c r="A48" t="s">
        <v>103</v>
      </c>
      <c r="B48" t="s">
        <v>48</v>
      </c>
      <c r="C48">
        <v>3500</v>
      </c>
      <c r="D48">
        <v>3500</v>
      </c>
      <c r="E48" t="s">
        <v>23</v>
      </c>
      <c r="F48">
        <v>200</v>
      </c>
      <c r="G48">
        <v>480</v>
      </c>
      <c r="H48">
        <v>5</v>
      </c>
      <c r="I48" t="s">
        <v>104</v>
      </c>
      <c r="J48">
        <v>5</v>
      </c>
      <c r="K48">
        <v>1</v>
      </c>
      <c r="L48">
        <v>5</v>
      </c>
      <c r="M48">
        <v>1</v>
      </c>
      <c r="N48">
        <v>25</v>
      </c>
      <c r="O48" t="s">
        <v>115</v>
      </c>
    </row>
    <row r="49" spans="1:15" x14ac:dyDescent="0.25">
      <c r="A49" t="s">
        <v>105</v>
      </c>
      <c r="B49" t="s">
        <v>106</v>
      </c>
      <c r="C49">
        <v>1600</v>
      </c>
      <c r="D49">
        <v>1000</v>
      </c>
      <c r="E49" t="s">
        <v>70</v>
      </c>
      <c r="F49">
        <v>500</v>
      </c>
      <c r="G49">
        <v>100</v>
      </c>
      <c r="H49">
        <v>5</v>
      </c>
      <c r="I49" t="s">
        <v>107</v>
      </c>
      <c r="J49">
        <v>8</v>
      </c>
      <c r="K49">
        <v>1.5</v>
      </c>
      <c r="L49">
        <v>6</v>
      </c>
      <c r="M49">
        <v>1.5</v>
      </c>
      <c r="N49">
        <v>16</v>
      </c>
      <c r="O49" t="s">
        <v>115</v>
      </c>
    </row>
    <row r="50" spans="1:15" x14ac:dyDescent="0.25">
      <c r="A50" t="s">
        <v>108</v>
      </c>
      <c r="B50" t="s">
        <v>106</v>
      </c>
      <c r="C50">
        <v>1600</v>
      </c>
      <c r="D50">
        <v>4000</v>
      </c>
      <c r="E50" t="s">
        <v>109</v>
      </c>
      <c r="F50">
        <v>500</v>
      </c>
      <c r="G50">
        <v>100</v>
      </c>
      <c r="H50">
        <v>1</v>
      </c>
      <c r="I50" t="s">
        <v>110</v>
      </c>
      <c r="J50">
        <v>0</v>
      </c>
      <c r="K50">
        <v>1.5</v>
      </c>
      <c r="L50" t="s">
        <v>121</v>
      </c>
      <c r="M50">
        <v>1.5</v>
      </c>
      <c r="N50">
        <v>16</v>
      </c>
      <c r="O50" t="s">
        <v>115</v>
      </c>
    </row>
    <row r="51" spans="1:15" x14ac:dyDescent="0.25">
      <c r="A51" t="s">
        <v>111</v>
      </c>
      <c r="B51" t="s">
        <v>48</v>
      </c>
      <c r="C51">
        <v>1600</v>
      </c>
      <c r="D51">
        <v>2200</v>
      </c>
      <c r="E51" t="s">
        <v>23</v>
      </c>
      <c r="F51">
        <v>400</v>
      </c>
      <c r="G51">
        <v>100</v>
      </c>
      <c r="H51">
        <v>8</v>
      </c>
      <c r="I51" t="s">
        <v>112</v>
      </c>
      <c r="J51">
        <v>20</v>
      </c>
      <c r="K51">
        <v>1</v>
      </c>
      <c r="L51">
        <v>2.5</v>
      </c>
      <c r="M51">
        <v>1</v>
      </c>
      <c r="N51">
        <v>16</v>
      </c>
      <c r="O51" t="s">
        <v>115</v>
      </c>
    </row>
    <row r="52" spans="1:15" x14ac:dyDescent="0.25">
      <c r="A52" t="s">
        <v>113</v>
      </c>
      <c r="B52" t="s">
        <v>114</v>
      </c>
      <c r="C52">
        <v>4500</v>
      </c>
      <c r="D52">
        <v>1200</v>
      </c>
      <c r="E52" t="s">
        <v>70</v>
      </c>
      <c r="F52">
        <v>400</v>
      </c>
      <c r="G52">
        <v>100</v>
      </c>
      <c r="H52">
        <v>6</v>
      </c>
      <c r="I52" t="s">
        <v>15</v>
      </c>
      <c r="J52">
        <v>8</v>
      </c>
      <c r="K52">
        <v>1</v>
      </c>
      <c r="L52">
        <v>3</v>
      </c>
      <c r="M52">
        <v>1</v>
      </c>
      <c r="N52">
        <v>25</v>
      </c>
      <c r="O52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745129641f03484f1ad2c65a42b95699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19a18bd7ce4e3bd0df15c7d2e99059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Props1.xml><?xml version="1.0" encoding="utf-8"?>
<ds:datastoreItem xmlns:ds="http://schemas.openxmlformats.org/officeDocument/2006/customXml" ds:itemID="{C0F48CB2-E434-404C-A14C-84DCA73952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70E250-8B88-4EC0-A466-8DCE6442D1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1E6AFA-688B-409E-8105-44484C937783}">
  <ds:schemaRefs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3bd2448e-bc80-4060-9b44-5204c1169a85"/>
    <ds:schemaRef ds:uri="http://purl.org/dc/terms/"/>
    <ds:schemaRef ds:uri="http://schemas.microsoft.com/office/2006/documentManagement/types"/>
    <ds:schemaRef ds:uri="08ceecc5-2daa-47f4-9f70-3b427bddc80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2026-05-04T01:21:30Z</dcterms:created>
  <dcterms:modified xsi:type="dcterms:W3CDTF">2026-05-31T06:17:10Z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