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F58F44B8-7CFF-4E9C-8F17-D303717E2747}" xr6:coauthVersionLast="47" xr6:coauthVersionMax="47" xr10:uidLastSave="{00000000-0000-0000-0000-000000000000}"/>
  <bookViews>
    <workbookView xWindow="-98" yWindow="-98" windowWidth="19396" windowHeight="11475" xr2:uid="{8C94CB32-DBD8-4B2C-8E3F-C9E5DF50A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8" i="1" l="1"/>
  <c r="Q28" i="1"/>
  <c r="P28" i="1"/>
  <c r="O28" i="1"/>
  <c r="R27" i="1"/>
  <c r="Q27" i="1"/>
  <c r="P27" i="1"/>
  <c r="O27" i="1"/>
  <c r="K234" i="1"/>
  <c r="K235" i="1"/>
  <c r="K236" i="1"/>
  <c r="K237" i="1"/>
  <c r="K238" i="1"/>
  <c r="K239" i="1"/>
  <c r="K240" i="1"/>
  <c r="K233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04" i="1"/>
  <c r="K199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74" i="1"/>
  <c r="K160" i="1"/>
  <c r="K161" i="1"/>
  <c r="K162" i="1"/>
  <c r="K163" i="1"/>
  <c r="K164" i="1"/>
  <c r="K165" i="1"/>
  <c r="K166" i="1"/>
  <c r="K167" i="1"/>
  <c r="K168" i="1"/>
  <c r="K169" i="1"/>
  <c r="K159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35" i="1"/>
  <c r="K102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14" i="1"/>
  <c r="K103" i="1"/>
  <c r="K104" i="1"/>
  <c r="K105" i="1"/>
  <c r="K106" i="1"/>
  <c r="K107" i="1"/>
  <c r="K108" i="1"/>
  <c r="K109" i="1"/>
  <c r="J234" i="1"/>
  <c r="J235" i="1"/>
  <c r="J236" i="1"/>
  <c r="J237" i="1"/>
  <c r="J238" i="1"/>
  <c r="J239" i="1"/>
  <c r="J240" i="1"/>
  <c r="J233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04" i="1"/>
  <c r="J189" i="1"/>
  <c r="J190" i="1"/>
  <c r="J191" i="1"/>
  <c r="J192" i="1"/>
  <c r="J193" i="1"/>
  <c r="J194" i="1"/>
  <c r="J195" i="1"/>
  <c r="J196" i="1"/>
  <c r="J197" i="1"/>
  <c r="J198" i="1"/>
  <c r="J199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74" i="1"/>
  <c r="J160" i="1"/>
  <c r="J161" i="1"/>
  <c r="J162" i="1"/>
  <c r="J163" i="1"/>
  <c r="J164" i="1"/>
  <c r="J165" i="1"/>
  <c r="J166" i="1"/>
  <c r="J167" i="1"/>
  <c r="J168" i="1"/>
  <c r="J169" i="1"/>
  <c r="J159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35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14" i="1"/>
  <c r="J103" i="1"/>
  <c r="J104" i="1"/>
  <c r="J105" i="1"/>
  <c r="J106" i="1"/>
  <c r="J107" i="1"/>
  <c r="J108" i="1"/>
  <c r="J109" i="1"/>
  <c r="J102" i="1"/>
  <c r="K88" i="1"/>
  <c r="K89" i="1"/>
  <c r="K90" i="1"/>
  <c r="K91" i="1"/>
  <c r="K92" i="1"/>
  <c r="K93" i="1"/>
  <c r="K94" i="1"/>
  <c r="K95" i="1"/>
  <c r="K96" i="1"/>
  <c r="K97" i="1"/>
  <c r="K87" i="1"/>
  <c r="J88" i="1"/>
  <c r="J89" i="1"/>
  <c r="J90" i="1"/>
  <c r="J91" i="1"/>
  <c r="J92" i="1"/>
  <c r="J93" i="1"/>
  <c r="J94" i="1"/>
  <c r="J95" i="1"/>
  <c r="J96" i="1"/>
  <c r="J97" i="1"/>
  <c r="J87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69" i="1"/>
  <c r="K62" i="1"/>
  <c r="K63" i="1"/>
  <c r="K64" i="1"/>
  <c r="K61" i="1"/>
  <c r="J62" i="1"/>
  <c r="J63" i="1"/>
  <c r="J64" i="1"/>
  <c r="J61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39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7" i="1"/>
  <c r="J28" i="1"/>
  <c r="J29" i="1"/>
  <c r="J30" i="1"/>
  <c r="J31" i="1"/>
  <c r="J32" i="1"/>
  <c r="K32" i="1" s="1"/>
  <c r="J26" i="1"/>
  <c r="K26" i="1" s="1"/>
  <c r="K31" i="1" l="1"/>
  <c r="K30" i="1"/>
  <c r="K29" i="1"/>
  <c r="K28" i="1"/>
  <c r="K27" i="1"/>
</calcChain>
</file>

<file path=xl/sharedStrings.xml><?xml version="1.0" encoding="utf-8"?>
<sst xmlns="http://schemas.openxmlformats.org/spreadsheetml/2006/main" count="291" uniqueCount="180">
  <si>
    <t>Grossberg</t>
  </si>
  <si>
    <t>item</t>
  </si>
  <si>
    <t>reward per</t>
  </si>
  <si>
    <t>weight</t>
  </si>
  <si>
    <t>min</t>
  </si>
  <si>
    <t>max</t>
  </si>
  <si>
    <t>Dog Flesh</t>
  </si>
  <si>
    <t>Goblin Flesh</t>
  </si>
  <si>
    <t>Human Flesh</t>
  </si>
  <si>
    <t>Bladder</t>
  </si>
  <si>
    <t>Bone</t>
  </si>
  <si>
    <t>Brain</t>
  </si>
  <si>
    <t>Heart</t>
  </si>
  <si>
    <t>Intestines</t>
  </si>
  <si>
    <t>Kidney</t>
  </si>
  <si>
    <t>Liver</t>
  </si>
  <si>
    <t>Lung</t>
  </si>
  <si>
    <t>Pancreas</t>
  </si>
  <si>
    <t>Spleen</t>
  </si>
  <si>
    <t>Thyroid</t>
  </si>
  <si>
    <t>Tongue</t>
  </si>
  <si>
    <t>Skrip</t>
  </si>
  <si>
    <t>Cheese</t>
  </si>
  <si>
    <t>Cheeseburger</t>
  </si>
  <si>
    <t>Cheese Tops</t>
  </si>
  <si>
    <t>Double Cheeseburger</t>
  </si>
  <si>
    <t>Mac N Cheese</t>
  </si>
  <si>
    <t>Cheese Sandwich</t>
  </si>
  <si>
    <t>Fondue</t>
  </si>
  <si>
    <t>Pine Nut</t>
  </si>
  <si>
    <t>Hazelnut</t>
  </si>
  <si>
    <t>Walnut</t>
  </si>
  <si>
    <t>Mycota Squamata</t>
  </si>
  <si>
    <t>Paper</t>
  </si>
  <si>
    <t>Berries</t>
  </si>
  <si>
    <t>Peanut</t>
  </si>
  <si>
    <t>Herb</t>
  </si>
  <si>
    <t>Snail</t>
  </si>
  <si>
    <t>Jam (Unsweetened)</t>
  </si>
  <si>
    <t>Bark Bread</t>
  </si>
  <si>
    <t>Hard Bread</t>
  </si>
  <si>
    <t>Karl Oskar</t>
  </si>
  <si>
    <t>Spice Mix</t>
  </si>
  <si>
    <t>Christmas Spice</t>
  </si>
  <si>
    <t>Swing Ding</t>
  </si>
  <si>
    <t>Fex Shuen</t>
  </si>
  <si>
    <t>Scholar</t>
  </si>
  <si>
    <t>Bark</t>
  </si>
  <si>
    <t>Shav'wa Bladder</t>
  </si>
  <si>
    <t>demand</t>
  </si>
  <si>
    <t>percent of asks</t>
  </si>
  <si>
    <t>Kidney Stone</t>
  </si>
  <si>
    <t>Sawdust</t>
  </si>
  <si>
    <t>Ralphie</t>
  </si>
  <si>
    <t>Rubber</t>
  </si>
  <si>
    <t>Air Duster</t>
  </si>
  <si>
    <t>Microfiber Dish Cloth</t>
  </si>
  <si>
    <t>Cotton Swab</t>
  </si>
  <si>
    <t>Soapy Wool</t>
  </si>
  <si>
    <t>Toilet Paper</t>
  </si>
  <si>
    <t>Wet Wipes</t>
  </si>
  <si>
    <t>Dish Soap</t>
  </si>
  <si>
    <t>Stick</t>
  </si>
  <si>
    <t>Rock</t>
  </si>
  <si>
    <t>Hardshell Taco</t>
  </si>
  <si>
    <t>Meat Skewers</t>
  </si>
  <si>
    <t>Haukland Salesman</t>
  </si>
  <si>
    <t>Cryo Grenade</t>
  </si>
  <si>
    <t>Dirk</t>
  </si>
  <si>
    <t>Drifter9</t>
  </si>
  <si>
    <t>Dynamite</t>
  </si>
  <si>
    <t>Molotov Cocktail</t>
  </si>
  <si>
    <t>Pineapple Grenade</t>
  </si>
  <si>
    <t>Poison Grenade</t>
  </si>
  <si>
    <t>Snut 38</t>
  </si>
  <si>
    <t>Stick Grenade</t>
  </si>
  <si>
    <t>Sulfur Grenade</t>
  </si>
  <si>
    <t>Throwing Knife</t>
  </si>
  <si>
    <t>Bill</t>
  </si>
  <si>
    <t>Worm</t>
  </si>
  <si>
    <t>Escargot</t>
  </si>
  <si>
    <t>Pizza Slice</t>
  </si>
  <si>
    <t>Frog Leg</t>
  </si>
  <si>
    <t>Green Glob</t>
  </si>
  <si>
    <t>Blond Magnus</t>
  </si>
  <si>
    <t>Bleach</t>
  </si>
  <si>
    <t>Be Gone</t>
  </si>
  <si>
    <t>Insurance</t>
  </si>
  <si>
    <t>Blue Milk</t>
  </si>
  <si>
    <t>Red Milk</t>
  </si>
  <si>
    <t>Green Milk</t>
  </si>
  <si>
    <t>Wine</t>
  </si>
  <si>
    <t>Balaklava</t>
  </si>
  <si>
    <t>Cactus Lackerol</t>
  </si>
  <si>
    <t>Gravedigger</t>
  </si>
  <si>
    <t>Julmust</t>
  </si>
  <si>
    <t>Beans</t>
  </si>
  <si>
    <t>PyttiPanna</t>
  </si>
  <si>
    <t>Potato Salad</t>
  </si>
  <si>
    <t>Sausage</t>
  </si>
  <si>
    <t>Fatberg Chunk</t>
  </si>
  <si>
    <t>Butter</t>
  </si>
  <si>
    <t>Porridge</t>
  </si>
  <si>
    <t>Tongue on a Stick</t>
  </si>
  <si>
    <t>Sausage on a Stick</t>
  </si>
  <si>
    <t>Polsa</t>
  </si>
  <si>
    <t>Currywurst</t>
  </si>
  <si>
    <t>Mushroom Fried</t>
  </si>
  <si>
    <t>Stew</t>
  </si>
  <si>
    <t>Pilk</t>
  </si>
  <si>
    <t>Mulled Wine</t>
  </si>
  <si>
    <t>Prepper Defector</t>
  </si>
  <si>
    <t>Banana</t>
  </si>
  <si>
    <t>Broth</t>
  </si>
  <si>
    <t>Butter Sandwich</t>
  </si>
  <si>
    <t>Buttermilk Pancakes</t>
  </si>
  <si>
    <t>Sandwich Cheese</t>
  </si>
  <si>
    <t>Liver Dumpling</t>
  </si>
  <si>
    <t>Raclette</t>
  </si>
  <si>
    <t>Sugar</t>
  </si>
  <si>
    <t>Swedish Pancake</t>
  </si>
  <si>
    <t>Toast Skagen</t>
  </si>
  <si>
    <t>Sweet Gum</t>
  </si>
  <si>
    <t>Qiosk</t>
  </si>
  <si>
    <t>Marshmallow</t>
  </si>
  <si>
    <t>Americano</t>
  </si>
  <si>
    <t>Latte</t>
  </si>
  <si>
    <t>Peanut Butter</t>
  </si>
  <si>
    <t>Peanutbutter Sandwich</t>
  </si>
  <si>
    <t>Peanutbutter Jelly Sandwich</t>
  </si>
  <si>
    <t>Sports Drink</t>
  </si>
  <si>
    <t>Cotton Candy</t>
  </si>
  <si>
    <t>Chocolate Ball</t>
  </si>
  <si>
    <t>Chocolate Bar</t>
  </si>
  <si>
    <t>Chocolate Syrup</t>
  </si>
  <si>
    <t>Egg Toddy</t>
  </si>
  <si>
    <t>Buttermilk Pancake</t>
  </si>
  <si>
    <t>Banana Sulfs</t>
  </si>
  <si>
    <t>Cactus Drink</t>
  </si>
  <si>
    <t>Energy Gum</t>
  </si>
  <si>
    <t>Candy Cane</t>
  </si>
  <si>
    <t>Lemonade</t>
  </si>
  <si>
    <t>Mudcake</t>
  </si>
  <si>
    <t>Meringue</t>
  </si>
  <si>
    <t>Sulf Cola</t>
  </si>
  <si>
    <t>Berry Milkshake</t>
  </si>
  <si>
    <t>Chocolate Milkshake</t>
  </si>
  <si>
    <t>Rat Queen</t>
  </si>
  <si>
    <t>Bathrobe</t>
  </si>
  <si>
    <t>Item_ClergyCollar</t>
  </si>
  <si>
    <t>Denim Jacket</t>
  </si>
  <si>
    <t>Encrypted Hoodie</t>
  </si>
  <si>
    <t>Yellow Hoodie</t>
  </si>
  <si>
    <t>Leather Jacket</t>
  </si>
  <si>
    <t>Office Shirt</t>
  </si>
  <si>
    <t>Old Timey Suit</t>
  </si>
  <si>
    <t>Parka</t>
  </si>
  <si>
    <t>Pyjama</t>
  </si>
  <si>
    <t>Sulfur Hoodie</t>
  </si>
  <si>
    <t>Tunic</t>
  </si>
  <si>
    <t>Clog</t>
  </si>
  <si>
    <t>Shoe</t>
  </si>
  <si>
    <t>Sneaker</t>
  </si>
  <si>
    <t>Sock</t>
  </si>
  <si>
    <t>Ygg</t>
  </si>
  <si>
    <t>Blue bandana</t>
  </si>
  <si>
    <t>Red Bandana</t>
  </si>
  <si>
    <t>Beanie</t>
  </si>
  <si>
    <t>Beer Helmet</t>
  </si>
  <si>
    <t>Cap</t>
  </si>
  <si>
    <t>Round Glasses</t>
  </si>
  <si>
    <t>Sunglasses</t>
  </si>
  <si>
    <t>Sylvester Hat</t>
  </si>
  <si>
    <t>Stiffleg</t>
  </si>
  <si>
    <t>Bottled Water</t>
  </si>
  <si>
    <t>Goblin Eye</t>
  </si>
  <si>
    <t>False Sulfcap</t>
  </si>
  <si>
    <t>High Heel</t>
  </si>
  <si>
    <t>Badass Vest</t>
  </si>
  <si>
    <t>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</si>
</sst>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E457-C011-4EC0-9D61-41E7626E895C}">
  <dimension ref="E4:R240"/>
  <sheetViews>
    <sheetView tabSelected="1" topLeftCell="A4" workbookViewId="0">
      <selection activeCell="R29" sqref="R29"/>
    </sheetView>
  </sheetViews>
  <sheetFormatPr defaultRowHeight="14.25" x14ac:dyDescent="0.45"/>
  <cols>
    <col min="5" max="5" width="26" bestFit="1" customWidth="1"/>
    <col min="6" max="6" width="4.3984375" bestFit="1" customWidth="1"/>
    <col min="7" max="7" width="4.73046875" bestFit="1" customWidth="1"/>
    <col min="8" max="8" width="10.3984375" bestFit="1" customWidth="1"/>
    <col min="9" max="9" width="6.73046875" bestFit="1" customWidth="1"/>
    <col min="11" max="11" width="20" style="1" bestFit="1" customWidth="1"/>
    <col min="12" max="12" width="4.3984375" bestFit="1" customWidth="1"/>
    <col min="13" max="13" width="4.73046875" bestFit="1" customWidth="1"/>
    <col min="14" max="14" width="10.3984375" bestFit="1" customWidth="1"/>
    <col min="15" max="15" width="6.73046875" bestFit="1" customWidth="1"/>
  </cols>
  <sheetData>
    <row r="4" spans="5:11" x14ac:dyDescent="0.45">
      <c r="E4" t="s">
        <v>0</v>
      </c>
    </row>
    <row r="5" spans="5:11" x14ac:dyDescent="0.45">
      <c r="E5" t="s">
        <v>1</v>
      </c>
      <c r="F5" t="s">
        <v>4</v>
      </c>
      <c r="G5" t="s">
        <v>5</v>
      </c>
      <c r="H5" t="s">
        <v>2</v>
      </c>
      <c r="I5" t="s">
        <v>3</v>
      </c>
      <c r="J5" t="s">
        <v>49</v>
      </c>
      <c r="K5" s="1" t="s">
        <v>50</v>
      </c>
    </row>
    <row r="6" spans="5:11" x14ac:dyDescent="0.45">
      <c r="E6" t="s">
        <v>6</v>
      </c>
      <c r="F6">
        <v>1</v>
      </c>
      <c r="G6">
        <v>2</v>
      </c>
      <c r="H6">
        <v>1</v>
      </c>
      <c r="I6">
        <v>40</v>
      </c>
      <c r="J6">
        <f t="shared" ref="J6:J20" si="0">AVERAGE(F6,G6)*I6</f>
        <v>60</v>
      </c>
      <c r="K6" s="1">
        <f>J6/SUM(J$6:J$20)</f>
        <v>0.2569593147751606</v>
      </c>
    </row>
    <row r="7" spans="5:11" x14ac:dyDescent="0.45">
      <c r="E7" t="s">
        <v>7</v>
      </c>
      <c r="F7">
        <v>1</v>
      </c>
      <c r="G7">
        <v>3</v>
      </c>
      <c r="H7">
        <v>1</v>
      </c>
      <c r="I7">
        <v>50</v>
      </c>
      <c r="J7">
        <f t="shared" si="0"/>
        <v>100</v>
      </c>
      <c r="K7" s="1">
        <f t="shared" ref="K7:K20" si="1">J7/SUM(J$6:J$20)</f>
        <v>0.42826552462526768</v>
      </c>
    </row>
    <row r="8" spans="5:11" x14ac:dyDescent="0.45">
      <c r="E8" t="s">
        <v>8</v>
      </c>
      <c r="F8">
        <v>1</v>
      </c>
      <c r="G8">
        <v>2</v>
      </c>
      <c r="H8">
        <v>1</v>
      </c>
      <c r="I8">
        <v>25</v>
      </c>
      <c r="J8">
        <f t="shared" si="0"/>
        <v>37.5</v>
      </c>
      <c r="K8" s="1">
        <f t="shared" si="1"/>
        <v>0.16059957173447537</v>
      </c>
    </row>
    <row r="9" spans="5:11" x14ac:dyDescent="0.45">
      <c r="E9" t="s">
        <v>9</v>
      </c>
      <c r="F9">
        <v>1</v>
      </c>
      <c r="G9">
        <v>2</v>
      </c>
      <c r="H9">
        <v>1</v>
      </c>
      <c r="I9">
        <v>2</v>
      </c>
      <c r="J9">
        <f t="shared" si="0"/>
        <v>3</v>
      </c>
      <c r="K9" s="1">
        <f t="shared" si="1"/>
        <v>1.284796573875803E-2</v>
      </c>
    </row>
    <row r="10" spans="5:11" x14ac:dyDescent="0.45">
      <c r="E10" t="s">
        <v>10</v>
      </c>
      <c r="F10">
        <v>1</v>
      </c>
      <c r="G10">
        <v>2</v>
      </c>
      <c r="H10">
        <v>1</v>
      </c>
      <c r="I10">
        <v>2</v>
      </c>
      <c r="J10">
        <f t="shared" si="0"/>
        <v>3</v>
      </c>
      <c r="K10" s="1">
        <f t="shared" si="1"/>
        <v>1.284796573875803E-2</v>
      </c>
    </row>
    <row r="11" spans="5:11" x14ac:dyDescent="0.45">
      <c r="E11" t="s">
        <v>11</v>
      </c>
      <c r="F11">
        <v>1</v>
      </c>
      <c r="G11">
        <v>2</v>
      </c>
      <c r="H11">
        <v>2</v>
      </c>
      <c r="I11">
        <v>2</v>
      </c>
      <c r="J11">
        <f t="shared" si="0"/>
        <v>3</v>
      </c>
      <c r="K11" s="1">
        <f t="shared" si="1"/>
        <v>1.284796573875803E-2</v>
      </c>
    </row>
    <row r="12" spans="5:11" x14ac:dyDescent="0.45">
      <c r="E12" t="s">
        <v>12</v>
      </c>
      <c r="F12">
        <v>1</v>
      </c>
      <c r="G12">
        <v>2</v>
      </c>
      <c r="H12">
        <v>2</v>
      </c>
      <c r="I12">
        <v>2</v>
      </c>
      <c r="J12">
        <f t="shared" si="0"/>
        <v>3</v>
      </c>
      <c r="K12" s="1">
        <f t="shared" si="1"/>
        <v>1.284796573875803E-2</v>
      </c>
    </row>
    <row r="13" spans="5:11" x14ac:dyDescent="0.45">
      <c r="E13" t="s">
        <v>13</v>
      </c>
      <c r="F13">
        <v>1</v>
      </c>
      <c r="G13">
        <v>2</v>
      </c>
      <c r="H13">
        <v>1</v>
      </c>
      <c r="I13">
        <v>2</v>
      </c>
      <c r="J13">
        <f t="shared" si="0"/>
        <v>3</v>
      </c>
      <c r="K13" s="1">
        <f t="shared" si="1"/>
        <v>1.284796573875803E-2</v>
      </c>
    </row>
    <row r="14" spans="5:11" x14ac:dyDescent="0.45">
      <c r="E14" t="s">
        <v>14</v>
      </c>
      <c r="F14">
        <v>1</v>
      </c>
      <c r="G14">
        <v>2</v>
      </c>
      <c r="H14">
        <v>1</v>
      </c>
      <c r="I14">
        <v>2</v>
      </c>
      <c r="J14">
        <f t="shared" si="0"/>
        <v>3</v>
      </c>
      <c r="K14" s="1">
        <f t="shared" si="1"/>
        <v>1.284796573875803E-2</v>
      </c>
    </row>
    <row r="15" spans="5:11" x14ac:dyDescent="0.45">
      <c r="E15" t="s">
        <v>15</v>
      </c>
      <c r="F15">
        <v>1</v>
      </c>
      <c r="G15">
        <v>2</v>
      </c>
      <c r="H15">
        <v>1</v>
      </c>
      <c r="I15">
        <v>2</v>
      </c>
      <c r="J15">
        <f t="shared" si="0"/>
        <v>3</v>
      </c>
      <c r="K15" s="1">
        <f t="shared" si="1"/>
        <v>1.284796573875803E-2</v>
      </c>
    </row>
    <row r="16" spans="5:11" x14ac:dyDescent="0.45">
      <c r="E16" t="s">
        <v>16</v>
      </c>
      <c r="F16">
        <v>1</v>
      </c>
      <c r="G16">
        <v>2</v>
      </c>
      <c r="H16">
        <v>1</v>
      </c>
      <c r="I16">
        <v>2</v>
      </c>
      <c r="J16">
        <f t="shared" si="0"/>
        <v>3</v>
      </c>
      <c r="K16" s="1">
        <f t="shared" si="1"/>
        <v>1.284796573875803E-2</v>
      </c>
    </row>
    <row r="17" spans="5:18" x14ac:dyDescent="0.45">
      <c r="E17" t="s">
        <v>17</v>
      </c>
      <c r="F17">
        <v>1</v>
      </c>
      <c r="G17">
        <v>2</v>
      </c>
      <c r="H17">
        <v>1</v>
      </c>
      <c r="I17">
        <v>2</v>
      </c>
      <c r="J17">
        <f t="shared" si="0"/>
        <v>3</v>
      </c>
      <c r="K17" s="1">
        <f t="shared" si="1"/>
        <v>1.284796573875803E-2</v>
      </c>
    </row>
    <row r="18" spans="5:18" x14ac:dyDescent="0.45">
      <c r="E18" t="s">
        <v>18</v>
      </c>
      <c r="F18">
        <v>1</v>
      </c>
      <c r="G18">
        <v>2</v>
      </c>
      <c r="H18">
        <v>1</v>
      </c>
      <c r="I18">
        <v>2</v>
      </c>
      <c r="J18">
        <f t="shared" si="0"/>
        <v>3</v>
      </c>
      <c r="K18" s="1">
        <f t="shared" si="1"/>
        <v>1.284796573875803E-2</v>
      </c>
    </row>
    <row r="19" spans="5:18" x14ac:dyDescent="0.45">
      <c r="E19" t="s">
        <v>19</v>
      </c>
      <c r="F19">
        <v>1</v>
      </c>
      <c r="G19">
        <v>2</v>
      </c>
      <c r="H19">
        <v>1</v>
      </c>
      <c r="I19">
        <v>2</v>
      </c>
      <c r="J19">
        <f t="shared" si="0"/>
        <v>3</v>
      </c>
      <c r="K19" s="1">
        <f t="shared" si="1"/>
        <v>1.284796573875803E-2</v>
      </c>
    </row>
    <row r="20" spans="5:18" x14ac:dyDescent="0.45">
      <c r="E20" t="s">
        <v>20</v>
      </c>
      <c r="F20">
        <v>1</v>
      </c>
      <c r="G20">
        <v>2</v>
      </c>
      <c r="H20">
        <v>1</v>
      </c>
      <c r="I20">
        <v>2</v>
      </c>
      <c r="J20">
        <f t="shared" si="0"/>
        <v>3</v>
      </c>
      <c r="K20" s="1">
        <f t="shared" si="1"/>
        <v>1.284796573875803E-2</v>
      </c>
    </row>
    <row r="24" spans="5:18" x14ac:dyDescent="0.45">
      <c r="E24" t="s">
        <v>21</v>
      </c>
    </row>
    <row r="25" spans="5:18" x14ac:dyDescent="0.45">
      <c r="E25" t="s">
        <v>1</v>
      </c>
      <c r="F25" t="s">
        <v>4</v>
      </c>
      <c r="G25" t="s">
        <v>5</v>
      </c>
      <c r="H25" t="s">
        <v>2</v>
      </c>
      <c r="I25" t="s">
        <v>3</v>
      </c>
      <c r="J25" t="s">
        <v>49</v>
      </c>
      <c r="K25" s="1" t="s">
        <v>50</v>
      </c>
    </row>
    <row r="26" spans="5:18" x14ac:dyDescent="0.45">
      <c r="E26" t="s">
        <v>22</v>
      </c>
      <c r="F26">
        <v>1</v>
      </c>
      <c r="G26">
        <v>3</v>
      </c>
      <c r="H26">
        <v>2</v>
      </c>
      <c r="I26">
        <v>50</v>
      </c>
      <c r="J26">
        <f>AVERAGE(F26,G26)*I26</f>
        <v>100</v>
      </c>
      <c r="K26" s="1">
        <f t="shared" ref="K26:K32" si="2">J26/SUM(J$26:J$32)</f>
        <v>0.32258064516129031</v>
      </c>
      <c r="O26" t="s">
        <v>22</v>
      </c>
      <c r="P26" t="s">
        <v>179</v>
      </c>
      <c r="Q26" t="s">
        <v>113</v>
      </c>
    </row>
    <row r="27" spans="5:18" x14ac:dyDescent="0.45">
      <c r="E27" t="s">
        <v>23</v>
      </c>
      <c r="F27">
        <v>1</v>
      </c>
      <c r="G27">
        <v>2</v>
      </c>
      <c r="H27">
        <v>2</v>
      </c>
      <c r="I27">
        <v>20</v>
      </c>
      <c r="J27">
        <f t="shared" ref="J27:J56" si="3">AVERAGE(F27,G27)*I27</f>
        <v>30</v>
      </c>
      <c r="K27" s="1">
        <f t="shared" si="2"/>
        <v>9.6774193548387094E-2</v>
      </c>
      <c r="O27">
        <f>J26+J27+J31/2+J32/2</f>
        <v>205</v>
      </c>
      <c r="P27">
        <f>J27/2+J31/4</f>
        <v>33.75</v>
      </c>
      <c r="Q27">
        <f>J32/2</f>
        <v>37.5</v>
      </c>
      <c r="R27">
        <f>O27+P27+Q27</f>
        <v>276.25</v>
      </c>
    </row>
    <row r="28" spans="5:18" x14ac:dyDescent="0.45">
      <c r="E28" t="s">
        <v>24</v>
      </c>
      <c r="F28">
        <v>1</v>
      </c>
      <c r="G28">
        <v>1</v>
      </c>
      <c r="H28">
        <v>3</v>
      </c>
      <c r="I28">
        <v>10</v>
      </c>
      <c r="J28">
        <f t="shared" si="3"/>
        <v>10</v>
      </c>
      <c r="K28" s="1">
        <f t="shared" si="2"/>
        <v>3.2258064516129031E-2</v>
      </c>
      <c r="O28">
        <f>O27/R27</f>
        <v>0.74208144796380093</v>
      </c>
      <c r="P28">
        <f>P27/R27</f>
        <v>0.12217194570135746</v>
      </c>
      <c r="Q28">
        <f>Q27/R27</f>
        <v>0.13574660633484162</v>
      </c>
      <c r="R28">
        <f>R27/R27</f>
        <v>1</v>
      </c>
    </row>
    <row r="29" spans="5:18" x14ac:dyDescent="0.45">
      <c r="E29" t="s">
        <v>25</v>
      </c>
      <c r="F29">
        <v>1</v>
      </c>
      <c r="G29">
        <v>1</v>
      </c>
      <c r="H29">
        <v>4</v>
      </c>
      <c r="I29">
        <v>10</v>
      </c>
      <c r="J29">
        <f t="shared" si="3"/>
        <v>10</v>
      </c>
      <c r="K29" s="1">
        <f t="shared" si="2"/>
        <v>3.2258064516129031E-2</v>
      </c>
    </row>
    <row r="30" spans="5:18" x14ac:dyDescent="0.45">
      <c r="E30" t="s">
        <v>26</v>
      </c>
      <c r="F30">
        <v>1</v>
      </c>
      <c r="G30">
        <v>1</v>
      </c>
      <c r="H30">
        <v>4</v>
      </c>
      <c r="I30">
        <v>10</v>
      </c>
      <c r="J30">
        <f t="shared" si="3"/>
        <v>10</v>
      </c>
      <c r="K30" s="1">
        <f t="shared" si="2"/>
        <v>3.2258064516129031E-2</v>
      </c>
    </row>
    <row r="31" spans="5:18" x14ac:dyDescent="0.45">
      <c r="E31" t="s">
        <v>27</v>
      </c>
      <c r="F31">
        <v>1</v>
      </c>
      <c r="G31">
        <v>2</v>
      </c>
      <c r="H31">
        <v>3</v>
      </c>
      <c r="I31">
        <v>50</v>
      </c>
      <c r="J31">
        <f t="shared" si="3"/>
        <v>75</v>
      </c>
      <c r="K31" s="1">
        <f t="shared" si="2"/>
        <v>0.24193548387096775</v>
      </c>
    </row>
    <row r="32" spans="5:18" x14ac:dyDescent="0.45">
      <c r="E32" t="s">
        <v>28</v>
      </c>
      <c r="F32">
        <v>1</v>
      </c>
      <c r="G32">
        <v>2</v>
      </c>
      <c r="H32">
        <v>3</v>
      </c>
      <c r="I32">
        <v>50</v>
      </c>
      <c r="J32">
        <f t="shared" si="3"/>
        <v>75</v>
      </c>
      <c r="K32" s="1">
        <f t="shared" si="2"/>
        <v>0.24193548387096775</v>
      </c>
    </row>
    <row r="37" spans="5:11" x14ac:dyDescent="0.45">
      <c r="E37" t="s">
        <v>45</v>
      </c>
    </row>
    <row r="38" spans="5:11" x14ac:dyDescent="0.45">
      <c r="E38" t="s">
        <v>1</v>
      </c>
      <c r="F38" t="s">
        <v>4</v>
      </c>
      <c r="G38" t="s">
        <v>5</v>
      </c>
      <c r="H38" t="s">
        <v>2</v>
      </c>
      <c r="I38" t="s">
        <v>3</v>
      </c>
      <c r="J38" t="s">
        <v>49</v>
      </c>
      <c r="K38" s="1" t="s">
        <v>50</v>
      </c>
    </row>
    <row r="39" spans="5:11" x14ac:dyDescent="0.45">
      <c r="E39" t="s">
        <v>47</v>
      </c>
      <c r="F39">
        <v>2</v>
      </c>
      <c r="G39">
        <v>4</v>
      </c>
      <c r="H39">
        <v>1</v>
      </c>
      <c r="I39">
        <v>30</v>
      </c>
      <c r="J39">
        <f t="shared" si="3"/>
        <v>90</v>
      </c>
      <c r="K39" s="1">
        <f>J39/SUM(J$39:J$56)</f>
        <v>1.4342629482071713E-2</v>
      </c>
    </row>
    <row r="40" spans="5:11" x14ac:dyDescent="0.45">
      <c r="E40" t="s">
        <v>29</v>
      </c>
      <c r="F40">
        <v>3</v>
      </c>
      <c r="G40">
        <v>5</v>
      </c>
      <c r="H40">
        <v>1</v>
      </c>
      <c r="I40">
        <v>30</v>
      </c>
      <c r="J40">
        <f t="shared" si="3"/>
        <v>120</v>
      </c>
      <c r="K40" s="1">
        <f t="shared" ref="K40:K56" si="4">J40/SUM(J$39:J$56)</f>
        <v>1.9123505976095617E-2</v>
      </c>
    </row>
    <row r="41" spans="5:11" x14ac:dyDescent="0.45">
      <c r="E41" t="s">
        <v>30</v>
      </c>
      <c r="F41">
        <v>3</v>
      </c>
      <c r="G41">
        <v>5</v>
      </c>
      <c r="H41">
        <v>1</v>
      </c>
      <c r="I41">
        <v>30</v>
      </c>
      <c r="J41">
        <f t="shared" si="3"/>
        <v>120</v>
      </c>
      <c r="K41" s="1">
        <f t="shared" si="4"/>
        <v>1.9123505976095617E-2</v>
      </c>
    </row>
    <row r="42" spans="5:11" x14ac:dyDescent="0.45">
      <c r="E42" t="s">
        <v>31</v>
      </c>
      <c r="F42">
        <v>3</v>
      </c>
      <c r="G42">
        <v>5</v>
      </c>
      <c r="H42">
        <v>1</v>
      </c>
      <c r="I42">
        <v>10</v>
      </c>
      <c r="J42">
        <f t="shared" si="3"/>
        <v>40</v>
      </c>
      <c r="K42" s="1">
        <f t="shared" si="4"/>
        <v>6.3745019920318727E-3</v>
      </c>
    </row>
    <row r="43" spans="5:11" x14ac:dyDescent="0.45">
      <c r="E43" t="s">
        <v>32</v>
      </c>
      <c r="F43">
        <v>1</v>
      </c>
      <c r="G43">
        <v>1</v>
      </c>
      <c r="H43">
        <v>3</v>
      </c>
      <c r="I43">
        <v>5</v>
      </c>
      <c r="J43">
        <f t="shared" si="3"/>
        <v>5</v>
      </c>
      <c r="K43" s="1">
        <f t="shared" si="4"/>
        <v>7.9681274900398409E-4</v>
      </c>
    </row>
    <row r="44" spans="5:11" x14ac:dyDescent="0.45">
      <c r="E44" t="s">
        <v>48</v>
      </c>
      <c r="F44">
        <v>1</v>
      </c>
      <c r="G44">
        <v>3</v>
      </c>
      <c r="H44">
        <v>2</v>
      </c>
      <c r="I44">
        <v>5</v>
      </c>
      <c r="J44">
        <f t="shared" si="3"/>
        <v>10</v>
      </c>
      <c r="K44" s="1">
        <f t="shared" si="4"/>
        <v>1.5936254980079682E-3</v>
      </c>
    </row>
    <row r="45" spans="5:11" x14ac:dyDescent="0.45">
      <c r="E45" t="s">
        <v>33</v>
      </c>
      <c r="F45">
        <v>3</v>
      </c>
      <c r="G45">
        <v>5</v>
      </c>
      <c r="H45">
        <v>1</v>
      </c>
      <c r="I45">
        <v>10</v>
      </c>
      <c r="J45">
        <f t="shared" si="3"/>
        <v>40</v>
      </c>
      <c r="K45" s="1">
        <f t="shared" si="4"/>
        <v>6.3745019920318727E-3</v>
      </c>
    </row>
    <row r="46" spans="5:11" x14ac:dyDescent="0.45">
      <c r="E46" t="s">
        <v>34</v>
      </c>
      <c r="F46">
        <v>3</v>
      </c>
      <c r="G46">
        <v>5</v>
      </c>
      <c r="H46">
        <v>1</v>
      </c>
      <c r="I46">
        <v>30</v>
      </c>
      <c r="J46">
        <f t="shared" si="3"/>
        <v>120</v>
      </c>
      <c r="K46" s="1">
        <f t="shared" si="4"/>
        <v>1.9123505976095617E-2</v>
      </c>
    </row>
    <row r="47" spans="5:11" x14ac:dyDescent="0.45">
      <c r="E47" t="s">
        <v>35</v>
      </c>
      <c r="F47">
        <v>3</v>
      </c>
      <c r="G47">
        <v>5</v>
      </c>
      <c r="H47">
        <v>1</v>
      </c>
      <c r="I47">
        <v>30</v>
      </c>
      <c r="J47">
        <f t="shared" si="3"/>
        <v>120</v>
      </c>
      <c r="K47" s="1">
        <f t="shared" si="4"/>
        <v>1.9123505976095617E-2</v>
      </c>
    </row>
    <row r="48" spans="5:11" x14ac:dyDescent="0.45">
      <c r="E48" t="s">
        <v>36</v>
      </c>
      <c r="F48">
        <v>2</v>
      </c>
      <c r="G48">
        <v>4</v>
      </c>
      <c r="H48">
        <v>1</v>
      </c>
      <c r="I48">
        <v>150</v>
      </c>
      <c r="J48">
        <f t="shared" si="3"/>
        <v>450</v>
      </c>
      <c r="K48" s="1">
        <f t="shared" si="4"/>
        <v>7.1713147410358571E-2</v>
      </c>
    </row>
    <row r="49" spans="5:11" x14ac:dyDescent="0.45">
      <c r="E49" t="s">
        <v>37</v>
      </c>
      <c r="F49">
        <v>3</v>
      </c>
      <c r="G49">
        <v>5</v>
      </c>
      <c r="H49">
        <v>1</v>
      </c>
      <c r="I49">
        <v>500</v>
      </c>
      <c r="J49">
        <f t="shared" si="3"/>
        <v>2000</v>
      </c>
      <c r="K49" s="1">
        <f t="shared" si="4"/>
        <v>0.31872509960159362</v>
      </c>
    </row>
    <row r="50" spans="5:11" x14ac:dyDescent="0.45">
      <c r="E50" t="s">
        <v>38</v>
      </c>
      <c r="F50">
        <v>3</v>
      </c>
      <c r="G50">
        <v>5</v>
      </c>
      <c r="H50">
        <v>2</v>
      </c>
      <c r="I50">
        <v>30</v>
      </c>
      <c r="J50">
        <f t="shared" si="3"/>
        <v>120</v>
      </c>
      <c r="K50" s="1">
        <f t="shared" si="4"/>
        <v>1.9123505976095617E-2</v>
      </c>
    </row>
    <row r="51" spans="5:11" x14ac:dyDescent="0.45">
      <c r="E51" t="s">
        <v>39</v>
      </c>
      <c r="F51">
        <v>1</v>
      </c>
      <c r="G51">
        <v>3</v>
      </c>
      <c r="H51">
        <v>2</v>
      </c>
      <c r="I51">
        <v>30</v>
      </c>
      <c r="J51">
        <f t="shared" si="3"/>
        <v>60</v>
      </c>
      <c r="K51" s="1">
        <f t="shared" si="4"/>
        <v>9.5617529880478083E-3</v>
      </c>
    </row>
    <row r="52" spans="5:11" x14ac:dyDescent="0.45">
      <c r="E52" t="s">
        <v>40</v>
      </c>
      <c r="F52">
        <v>1</v>
      </c>
      <c r="G52">
        <v>2</v>
      </c>
      <c r="H52">
        <v>2</v>
      </c>
      <c r="I52">
        <v>30</v>
      </c>
      <c r="J52">
        <f t="shared" si="3"/>
        <v>45</v>
      </c>
      <c r="K52" s="1">
        <f t="shared" si="4"/>
        <v>7.1713147410358566E-3</v>
      </c>
    </row>
    <row r="53" spans="5:11" x14ac:dyDescent="0.45">
      <c r="E53" t="s">
        <v>41</v>
      </c>
      <c r="F53">
        <v>3</v>
      </c>
      <c r="G53">
        <v>5</v>
      </c>
      <c r="H53">
        <v>1</v>
      </c>
      <c r="I53">
        <v>400</v>
      </c>
      <c r="J53">
        <f t="shared" si="3"/>
        <v>1600</v>
      </c>
      <c r="K53" s="1">
        <f t="shared" si="4"/>
        <v>0.2549800796812749</v>
      </c>
    </row>
    <row r="54" spans="5:11" x14ac:dyDescent="0.45">
      <c r="E54" t="s">
        <v>42</v>
      </c>
      <c r="F54">
        <v>2</v>
      </c>
      <c r="G54">
        <v>4</v>
      </c>
      <c r="H54">
        <v>1</v>
      </c>
      <c r="I54">
        <v>30</v>
      </c>
      <c r="J54">
        <f t="shared" si="3"/>
        <v>90</v>
      </c>
      <c r="K54" s="1">
        <f t="shared" si="4"/>
        <v>1.4342629482071713E-2</v>
      </c>
    </row>
    <row r="55" spans="5:11" x14ac:dyDescent="0.45">
      <c r="E55" t="s">
        <v>43</v>
      </c>
      <c r="F55">
        <v>1</v>
      </c>
      <c r="G55">
        <v>2</v>
      </c>
      <c r="H55">
        <v>2</v>
      </c>
      <c r="I55">
        <v>30</v>
      </c>
      <c r="J55">
        <f t="shared" si="3"/>
        <v>45</v>
      </c>
      <c r="K55" s="1">
        <f t="shared" si="4"/>
        <v>7.1713147410358566E-3</v>
      </c>
    </row>
    <row r="56" spans="5:11" x14ac:dyDescent="0.45">
      <c r="E56" t="s">
        <v>44</v>
      </c>
      <c r="F56">
        <v>3</v>
      </c>
      <c r="G56">
        <v>5</v>
      </c>
      <c r="H56">
        <v>1</v>
      </c>
      <c r="I56">
        <v>300</v>
      </c>
      <c r="J56">
        <f t="shared" si="3"/>
        <v>1200</v>
      </c>
      <c r="K56" s="1">
        <f t="shared" si="4"/>
        <v>0.19123505976095617</v>
      </c>
    </row>
    <row r="59" spans="5:11" x14ac:dyDescent="0.45">
      <c r="E59" t="s">
        <v>46</v>
      </c>
    </row>
    <row r="60" spans="5:11" x14ac:dyDescent="0.45">
      <c r="E60" t="s">
        <v>1</v>
      </c>
      <c r="F60" t="s">
        <v>4</v>
      </c>
      <c r="G60" t="s">
        <v>5</v>
      </c>
      <c r="H60" t="s">
        <v>2</v>
      </c>
      <c r="I60" t="s">
        <v>3</v>
      </c>
      <c r="J60" t="s">
        <v>49</v>
      </c>
      <c r="K60" s="1" t="s">
        <v>50</v>
      </c>
    </row>
    <row r="61" spans="5:11" x14ac:dyDescent="0.45">
      <c r="E61" t="s">
        <v>44</v>
      </c>
      <c r="F61">
        <v>3</v>
      </c>
      <c r="G61">
        <v>5</v>
      </c>
      <c r="H61">
        <v>1</v>
      </c>
      <c r="I61">
        <v>50</v>
      </c>
      <c r="J61">
        <f>AVERAGE(F61,G61)*I61</f>
        <v>200</v>
      </c>
      <c r="K61" s="1">
        <f>J61/SUM(J$61:J$64)</f>
        <v>0.34782608695652173</v>
      </c>
    </row>
    <row r="62" spans="5:11" x14ac:dyDescent="0.45">
      <c r="E62" t="s">
        <v>36</v>
      </c>
      <c r="F62">
        <v>2</v>
      </c>
      <c r="G62">
        <v>4</v>
      </c>
      <c r="H62">
        <v>1</v>
      </c>
      <c r="I62">
        <v>25</v>
      </c>
      <c r="J62">
        <f t="shared" ref="J62:J64" si="5">AVERAGE(F62,G62)*I62</f>
        <v>75</v>
      </c>
      <c r="K62" s="1">
        <f t="shared" ref="K62:K64" si="6">J62/SUM(J$61:J$64)</f>
        <v>0.13043478260869565</v>
      </c>
    </row>
    <row r="63" spans="5:11" x14ac:dyDescent="0.45">
      <c r="E63" t="s">
        <v>51</v>
      </c>
      <c r="F63">
        <v>1</v>
      </c>
      <c r="G63">
        <v>3</v>
      </c>
      <c r="H63">
        <v>2</v>
      </c>
      <c r="I63">
        <v>50</v>
      </c>
      <c r="J63">
        <f t="shared" si="5"/>
        <v>100</v>
      </c>
      <c r="K63" s="1">
        <f t="shared" si="6"/>
        <v>0.17391304347826086</v>
      </c>
    </row>
    <row r="64" spans="5:11" x14ac:dyDescent="0.45">
      <c r="E64" t="s">
        <v>52</v>
      </c>
      <c r="F64">
        <v>3</v>
      </c>
      <c r="G64">
        <v>5</v>
      </c>
      <c r="H64">
        <v>1</v>
      </c>
      <c r="I64">
        <v>50</v>
      </c>
      <c r="J64">
        <f t="shared" si="5"/>
        <v>200</v>
      </c>
      <c r="K64" s="1">
        <f t="shared" si="6"/>
        <v>0.34782608695652173</v>
      </c>
    </row>
    <row r="67" spans="5:11" x14ac:dyDescent="0.45">
      <c r="E67" t="s">
        <v>53</v>
      </c>
    </row>
    <row r="68" spans="5:11" x14ac:dyDescent="0.45">
      <c r="E68" t="s">
        <v>1</v>
      </c>
      <c r="F68" t="s">
        <v>4</v>
      </c>
      <c r="G68" t="s">
        <v>5</v>
      </c>
      <c r="H68" t="s">
        <v>2</v>
      </c>
      <c r="I68" t="s">
        <v>3</v>
      </c>
      <c r="J68" t="s">
        <v>49</v>
      </c>
      <c r="K68" s="1" t="s">
        <v>50</v>
      </c>
    </row>
    <row r="69" spans="5:11" x14ac:dyDescent="0.45">
      <c r="E69" t="s">
        <v>54</v>
      </c>
      <c r="F69">
        <v>1</v>
      </c>
      <c r="G69">
        <v>1</v>
      </c>
      <c r="H69">
        <v>3</v>
      </c>
      <c r="I69">
        <v>1</v>
      </c>
      <c r="J69">
        <f>AVERAGE(F69,G69)*I69</f>
        <v>1</v>
      </c>
      <c r="K69" s="1">
        <f>J69/SUM(J$69:J$82)</f>
        <v>1.6393442622950821E-2</v>
      </c>
    </row>
    <row r="70" spans="5:11" x14ac:dyDescent="0.45">
      <c r="E70" t="s">
        <v>55</v>
      </c>
      <c r="F70">
        <v>1</v>
      </c>
      <c r="G70">
        <v>1</v>
      </c>
      <c r="H70">
        <v>4</v>
      </c>
      <c r="I70">
        <v>1</v>
      </c>
      <c r="J70">
        <f t="shared" ref="J70:J82" si="7">AVERAGE(F70,G70)*I70</f>
        <v>1</v>
      </c>
      <c r="K70" s="1">
        <f t="shared" ref="K70:K82" si="8">J70/SUM(J$69:J$82)</f>
        <v>1.6393442622950821E-2</v>
      </c>
    </row>
    <row r="71" spans="5:11" x14ac:dyDescent="0.45">
      <c r="E71" t="s">
        <v>56</v>
      </c>
      <c r="F71">
        <v>1</v>
      </c>
      <c r="G71">
        <v>1</v>
      </c>
      <c r="H71">
        <v>3</v>
      </c>
      <c r="I71">
        <v>1</v>
      </c>
      <c r="J71">
        <f t="shared" si="7"/>
        <v>1</v>
      </c>
      <c r="K71" s="1">
        <f t="shared" si="8"/>
        <v>1.6393442622950821E-2</v>
      </c>
    </row>
    <row r="72" spans="5:11" x14ac:dyDescent="0.45">
      <c r="E72" t="s">
        <v>57</v>
      </c>
      <c r="F72">
        <v>1</v>
      </c>
      <c r="G72">
        <v>1</v>
      </c>
      <c r="H72">
        <v>2</v>
      </c>
      <c r="I72">
        <v>1</v>
      </c>
      <c r="J72">
        <f t="shared" si="7"/>
        <v>1</v>
      </c>
      <c r="K72" s="1">
        <f t="shared" si="8"/>
        <v>1.6393442622950821E-2</v>
      </c>
    </row>
    <row r="73" spans="5:11" x14ac:dyDescent="0.45">
      <c r="E73" t="s">
        <v>58</v>
      </c>
      <c r="F73">
        <v>1</v>
      </c>
      <c r="G73">
        <v>1</v>
      </c>
      <c r="H73">
        <v>2</v>
      </c>
      <c r="I73">
        <v>1</v>
      </c>
      <c r="J73">
        <f t="shared" si="7"/>
        <v>1</v>
      </c>
      <c r="K73" s="1">
        <f t="shared" si="8"/>
        <v>1.6393442622950821E-2</v>
      </c>
    </row>
    <row r="74" spans="5:11" x14ac:dyDescent="0.45">
      <c r="E74" t="s">
        <v>59</v>
      </c>
      <c r="F74">
        <v>1</v>
      </c>
      <c r="G74">
        <v>2</v>
      </c>
      <c r="H74">
        <v>1</v>
      </c>
      <c r="I74">
        <v>1</v>
      </c>
      <c r="J74">
        <f t="shared" si="7"/>
        <v>1.5</v>
      </c>
      <c r="K74" s="1">
        <f t="shared" si="8"/>
        <v>2.4590163934426229E-2</v>
      </c>
    </row>
    <row r="75" spans="5:11" x14ac:dyDescent="0.45">
      <c r="E75" t="s">
        <v>60</v>
      </c>
      <c r="F75">
        <v>1</v>
      </c>
      <c r="G75">
        <v>1</v>
      </c>
      <c r="H75">
        <v>3</v>
      </c>
      <c r="I75">
        <v>1</v>
      </c>
      <c r="J75">
        <f t="shared" si="7"/>
        <v>1</v>
      </c>
      <c r="K75" s="1">
        <f t="shared" si="8"/>
        <v>1.6393442622950821E-2</v>
      </c>
    </row>
    <row r="76" spans="5:11" x14ac:dyDescent="0.45">
      <c r="E76" t="s">
        <v>61</v>
      </c>
      <c r="F76">
        <v>1</v>
      </c>
      <c r="G76">
        <v>1</v>
      </c>
      <c r="H76">
        <v>3</v>
      </c>
      <c r="I76">
        <v>1</v>
      </c>
      <c r="J76">
        <f t="shared" si="7"/>
        <v>1</v>
      </c>
      <c r="K76" s="1">
        <f t="shared" si="8"/>
        <v>1.6393442622950821E-2</v>
      </c>
    </row>
    <row r="77" spans="5:11" x14ac:dyDescent="0.45">
      <c r="E77" t="s">
        <v>62</v>
      </c>
      <c r="F77">
        <v>1</v>
      </c>
      <c r="G77">
        <v>4</v>
      </c>
      <c r="H77">
        <v>1</v>
      </c>
      <c r="I77">
        <v>5</v>
      </c>
      <c r="J77">
        <f t="shared" si="7"/>
        <v>12.5</v>
      </c>
      <c r="K77" s="1">
        <f t="shared" si="8"/>
        <v>0.20491803278688525</v>
      </c>
    </row>
    <row r="78" spans="5:11" x14ac:dyDescent="0.45">
      <c r="E78" t="s">
        <v>63</v>
      </c>
      <c r="F78">
        <v>1</v>
      </c>
      <c r="G78">
        <v>4</v>
      </c>
      <c r="H78">
        <v>1</v>
      </c>
      <c r="I78">
        <v>5</v>
      </c>
      <c r="J78">
        <f t="shared" si="7"/>
        <v>12.5</v>
      </c>
      <c r="K78" s="1">
        <f t="shared" si="8"/>
        <v>0.20491803278688525</v>
      </c>
    </row>
    <row r="79" spans="5:11" x14ac:dyDescent="0.45">
      <c r="E79" t="s">
        <v>23</v>
      </c>
      <c r="F79">
        <v>1</v>
      </c>
      <c r="G79">
        <v>1</v>
      </c>
      <c r="H79">
        <v>2</v>
      </c>
      <c r="I79">
        <v>5</v>
      </c>
      <c r="J79">
        <f t="shared" si="7"/>
        <v>5</v>
      </c>
      <c r="K79" s="1">
        <f t="shared" si="8"/>
        <v>8.1967213114754092E-2</v>
      </c>
    </row>
    <row r="80" spans="5:11" x14ac:dyDescent="0.45">
      <c r="E80" t="s">
        <v>25</v>
      </c>
      <c r="F80">
        <v>1</v>
      </c>
      <c r="G80">
        <v>1</v>
      </c>
      <c r="H80">
        <v>3</v>
      </c>
      <c r="I80">
        <v>5</v>
      </c>
      <c r="J80">
        <f t="shared" si="7"/>
        <v>5</v>
      </c>
      <c r="K80" s="1">
        <f t="shared" si="8"/>
        <v>8.1967213114754092E-2</v>
      </c>
    </row>
    <row r="81" spans="5:11" x14ac:dyDescent="0.45">
      <c r="E81" t="s">
        <v>64</v>
      </c>
      <c r="F81">
        <v>1</v>
      </c>
      <c r="G81">
        <v>2</v>
      </c>
      <c r="H81">
        <v>2</v>
      </c>
      <c r="I81">
        <v>5</v>
      </c>
      <c r="J81">
        <f t="shared" si="7"/>
        <v>7.5</v>
      </c>
      <c r="K81" s="1">
        <f t="shared" si="8"/>
        <v>0.12295081967213115</v>
      </c>
    </row>
    <row r="82" spans="5:11" x14ac:dyDescent="0.45">
      <c r="E82" t="s">
        <v>65</v>
      </c>
      <c r="F82">
        <v>1</v>
      </c>
      <c r="G82">
        <v>3</v>
      </c>
      <c r="H82">
        <v>1</v>
      </c>
      <c r="I82">
        <v>5</v>
      </c>
      <c r="J82">
        <f t="shared" si="7"/>
        <v>10</v>
      </c>
      <c r="K82" s="1">
        <f t="shared" si="8"/>
        <v>0.16393442622950818</v>
      </c>
    </row>
    <row r="85" spans="5:11" x14ac:dyDescent="0.45">
      <c r="E85" t="s">
        <v>66</v>
      </c>
    </row>
    <row r="86" spans="5:11" x14ac:dyDescent="0.45">
      <c r="E86" t="s">
        <v>1</v>
      </c>
      <c r="F86" t="s">
        <v>4</v>
      </c>
      <c r="G86" t="s">
        <v>5</v>
      </c>
      <c r="H86" t="s">
        <v>2</v>
      </c>
      <c r="I86" t="s">
        <v>3</v>
      </c>
      <c r="J86" t="s">
        <v>49</v>
      </c>
      <c r="K86" s="1" t="s">
        <v>50</v>
      </c>
    </row>
    <row r="87" spans="5:11" x14ac:dyDescent="0.45">
      <c r="E87" t="s">
        <v>67</v>
      </c>
      <c r="F87">
        <v>1</v>
      </c>
      <c r="G87">
        <v>1</v>
      </c>
      <c r="H87">
        <v>2</v>
      </c>
      <c r="I87">
        <v>1</v>
      </c>
      <c r="J87">
        <f t="shared" ref="J87:J97" si="9">AVERAGE(F87,G87)*I87</f>
        <v>1</v>
      </c>
      <c r="K87" s="1">
        <f>J87/SUM(J$87:J$97)</f>
        <v>4.1666666666666664E-2</v>
      </c>
    </row>
    <row r="88" spans="5:11" x14ac:dyDescent="0.45">
      <c r="E88" t="s">
        <v>68</v>
      </c>
      <c r="F88">
        <v>1</v>
      </c>
      <c r="G88">
        <v>1</v>
      </c>
      <c r="H88">
        <v>1</v>
      </c>
      <c r="I88">
        <v>1</v>
      </c>
      <c r="J88">
        <f t="shared" si="9"/>
        <v>1</v>
      </c>
      <c r="K88" s="1">
        <f t="shared" ref="K88:K97" si="10">J88/SUM(J$87:J$97)</f>
        <v>4.1666666666666664E-2</v>
      </c>
    </row>
    <row r="89" spans="5:11" x14ac:dyDescent="0.45">
      <c r="E89" t="s">
        <v>69</v>
      </c>
      <c r="F89">
        <v>1</v>
      </c>
      <c r="G89">
        <v>1</v>
      </c>
      <c r="H89">
        <v>2</v>
      </c>
      <c r="I89">
        <v>1</v>
      </c>
      <c r="J89">
        <f t="shared" si="9"/>
        <v>1</v>
      </c>
      <c r="K89" s="1">
        <f t="shared" si="10"/>
        <v>4.1666666666666664E-2</v>
      </c>
    </row>
    <row r="90" spans="5:11" x14ac:dyDescent="0.45">
      <c r="E90" t="s">
        <v>70</v>
      </c>
      <c r="F90">
        <v>1</v>
      </c>
      <c r="G90">
        <v>1</v>
      </c>
      <c r="H90">
        <v>2</v>
      </c>
      <c r="I90">
        <v>1</v>
      </c>
      <c r="J90">
        <f t="shared" si="9"/>
        <v>1</v>
      </c>
      <c r="K90" s="1">
        <f t="shared" si="10"/>
        <v>4.1666666666666664E-2</v>
      </c>
    </row>
    <row r="91" spans="5:11" x14ac:dyDescent="0.45">
      <c r="E91" t="s">
        <v>71</v>
      </c>
      <c r="F91">
        <v>2</v>
      </c>
      <c r="G91">
        <v>5</v>
      </c>
      <c r="H91">
        <v>1</v>
      </c>
      <c r="I91">
        <v>1</v>
      </c>
      <c r="J91">
        <f t="shared" si="9"/>
        <v>3.5</v>
      </c>
      <c r="K91" s="1">
        <f t="shared" si="10"/>
        <v>0.14583333333333334</v>
      </c>
    </row>
    <row r="92" spans="5:11" x14ac:dyDescent="0.45">
      <c r="E92" t="s">
        <v>72</v>
      </c>
      <c r="F92">
        <v>2</v>
      </c>
      <c r="G92">
        <v>5</v>
      </c>
      <c r="H92">
        <v>1</v>
      </c>
      <c r="I92">
        <v>1</v>
      </c>
      <c r="J92">
        <f t="shared" si="9"/>
        <v>3.5</v>
      </c>
      <c r="K92" s="1">
        <f t="shared" si="10"/>
        <v>0.14583333333333334</v>
      </c>
    </row>
    <row r="93" spans="5:11" x14ac:dyDescent="0.45">
      <c r="E93" t="s">
        <v>73</v>
      </c>
      <c r="F93">
        <v>2</v>
      </c>
      <c r="G93">
        <v>4</v>
      </c>
      <c r="H93">
        <v>1</v>
      </c>
      <c r="I93">
        <v>1</v>
      </c>
      <c r="J93">
        <f t="shared" si="9"/>
        <v>3</v>
      </c>
      <c r="K93" s="1">
        <f t="shared" si="10"/>
        <v>0.125</v>
      </c>
    </row>
    <row r="94" spans="5:11" x14ac:dyDescent="0.45">
      <c r="E94" t="s">
        <v>74</v>
      </c>
      <c r="F94">
        <v>1</v>
      </c>
      <c r="G94">
        <v>1</v>
      </c>
      <c r="H94">
        <v>2</v>
      </c>
      <c r="I94">
        <v>1</v>
      </c>
      <c r="J94">
        <f t="shared" si="9"/>
        <v>1</v>
      </c>
      <c r="K94" s="1">
        <f t="shared" si="10"/>
        <v>4.1666666666666664E-2</v>
      </c>
    </row>
    <row r="95" spans="5:11" x14ac:dyDescent="0.45">
      <c r="E95" t="s">
        <v>75</v>
      </c>
      <c r="F95">
        <v>2</v>
      </c>
      <c r="G95">
        <v>4</v>
      </c>
      <c r="H95">
        <v>1</v>
      </c>
      <c r="I95">
        <v>1</v>
      </c>
      <c r="J95">
        <f t="shared" si="9"/>
        <v>3</v>
      </c>
      <c r="K95" s="1">
        <f t="shared" si="10"/>
        <v>0.125</v>
      </c>
    </row>
    <row r="96" spans="5:11" x14ac:dyDescent="0.45">
      <c r="E96" t="s">
        <v>76</v>
      </c>
      <c r="F96">
        <v>2</v>
      </c>
      <c r="G96">
        <v>4</v>
      </c>
      <c r="H96">
        <v>1</v>
      </c>
      <c r="I96">
        <v>1</v>
      </c>
      <c r="J96">
        <f t="shared" si="9"/>
        <v>3</v>
      </c>
      <c r="K96" s="1">
        <f t="shared" si="10"/>
        <v>0.125</v>
      </c>
    </row>
    <row r="97" spans="5:11" x14ac:dyDescent="0.45">
      <c r="E97" t="s">
        <v>77</v>
      </c>
      <c r="F97">
        <v>2</v>
      </c>
      <c r="G97">
        <v>4</v>
      </c>
      <c r="H97">
        <v>1</v>
      </c>
      <c r="I97">
        <v>1</v>
      </c>
      <c r="J97">
        <f t="shared" si="9"/>
        <v>3</v>
      </c>
      <c r="K97" s="1">
        <f t="shared" si="10"/>
        <v>0.125</v>
      </c>
    </row>
    <row r="100" spans="5:11" x14ac:dyDescent="0.45">
      <c r="E100" t="s">
        <v>78</v>
      </c>
    </row>
    <row r="101" spans="5:11" x14ac:dyDescent="0.45">
      <c r="E101" t="s">
        <v>1</v>
      </c>
      <c r="F101" t="s">
        <v>4</v>
      </c>
      <c r="G101" t="s">
        <v>5</v>
      </c>
      <c r="H101" t="s">
        <v>2</v>
      </c>
      <c r="I101" t="s">
        <v>3</v>
      </c>
      <c r="J101" t="s">
        <v>49</v>
      </c>
      <c r="K101" s="1" t="s">
        <v>50</v>
      </c>
    </row>
    <row r="102" spans="5:11" x14ac:dyDescent="0.45">
      <c r="E102" t="s">
        <v>37</v>
      </c>
      <c r="F102">
        <v>1</v>
      </c>
      <c r="G102">
        <v>3</v>
      </c>
      <c r="H102">
        <v>1</v>
      </c>
      <c r="I102">
        <v>9</v>
      </c>
      <c r="J102">
        <f t="shared" ref="J102:J109" si="11">AVERAGE(F102,G102)*I102</f>
        <v>18</v>
      </c>
      <c r="K102" s="1">
        <f>J102/SUM(J$102:J$109)</f>
        <v>0.125</v>
      </c>
    </row>
    <row r="103" spans="5:11" x14ac:dyDescent="0.45">
      <c r="E103" t="s">
        <v>79</v>
      </c>
      <c r="F103">
        <v>1</v>
      </c>
      <c r="G103">
        <v>3</v>
      </c>
      <c r="H103">
        <v>1</v>
      </c>
      <c r="I103">
        <v>9</v>
      </c>
      <c r="J103">
        <f t="shared" si="11"/>
        <v>18</v>
      </c>
      <c r="K103" s="1">
        <f t="shared" ref="K103:K109" si="12">J103/SUM(J$102:J$109)</f>
        <v>0.125</v>
      </c>
    </row>
    <row r="104" spans="5:11" x14ac:dyDescent="0.45">
      <c r="E104" t="s">
        <v>80</v>
      </c>
      <c r="F104">
        <v>1</v>
      </c>
      <c r="G104">
        <v>2</v>
      </c>
      <c r="H104">
        <v>2</v>
      </c>
      <c r="I104">
        <v>9</v>
      </c>
      <c r="J104">
        <f t="shared" si="11"/>
        <v>13.5</v>
      </c>
      <c r="K104" s="1">
        <f t="shared" si="12"/>
        <v>9.375E-2</v>
      </c>
    </row>
    <row r="105" spans="5:11" x14ac:dyDescent="0.45">
      <c r="E105" t="s">
        <v>81</v>
      </c>
      <c r="F105">
        <v>2</v>
      </c>
      <c r="G105">
        <v>4</v>
      </c>
      <c r="H105">
        <v>2</v>
      </c>
      <c r="I105">
        <v>9</v>
      </c>
      <c r="J105">
        <f t="shared" si="11"/>
        <v>27</v>
      </c>
      <c r="K105" s="1">
        <f t="shared" si="12"/>
        <v>0.1875</v>
      </c>
    </row>
    <row r="106" spans="5:11" x14ac:dyDescent="0.45">
      <c r="E106" t="s">
        <v>63</v>
      </c>
      <c r="F106">
        <v>1</v>
      </c>
      <c r="G106">
        <v>4</v>
      </c>
      <c r="H106">
        <v>1</v>
      </c>
      <c r="I106">
        <v>9</v>
      </c>
      <c r="J106">
        <f t="shared" si="11"/>
        <v>22.5</v>
      </c>
      <c r="K106" s="1">
        <f t="shared" si="12"/>
        <v>0.15625</v>
      </c>
    </row>
    <row r="107" spans="5:11" x14ac:dyDescent="0.45">
      <c r="E107" t="s">
        <v>62</v>
      </c>
      <c r="F107">
        <v>1</v>
      </c>
      <c r="G107">
        <v>4</v>
      </c>
      <c r="H107">
        <v>1</v>
      </c>
      <c r="I107">
        <v>9</v>
      </c>
      <c r="J107">
        <f t="shared" si="11"/>
        <v>22.5</v>
      </c>
      <c r="K107" s="1">
        <f t="shared" si="12"/>
        <v>0.15625</v>
      </c>
    </row>
    <row r="108" spans="5:11" x14ac:dyDescent="0.45">
      <c r="E108" t="s">
        <v>82</v>
      </c>
      <c r="F108">
        <v>1</v>
      </c>
      <c r="G108">
        <v>1</v>
      </c>
      <c r="H108">
        <v>2</v>
      </c>
      <c r="I108">
        <v>9</v>
      </c>
      <c r="J108">
        <f t="shared" si="11"/>
        <v>9</v>
      </c>
      <c r="K108" s="1">
        <f t="shared" si="12"/>
        <v>6.25E-2</v>
      </c>
    </row>
    <row r="109" spans="5:11" x14ac:dyDescent="0.45">
      <c r="E109" t="s">
        <v>83</v>
      </c>
      <c r="F109">
        <v>1</v>
      </c>
      <c r="G109">
        <v>2</v>
      </c>
      <c r="H109">
        <v>2</v>
      </c>
      <c r="I109">
        <v>9</v>
      </c>
      <c r="J109">
        <f t="shared" si="11"/>
        <v>13.5</v>
      </c>
      <c r="K109" s="1">
        <f t="shared" si="12"/>
        <v>9.375E-2</v>
      </c>
    </row>
    <row r="112" spans="5:11" x14ac:dyDescent="0.45">
      <c r="E112" t="s">
        <v>84</v>
      </c>
    </row>
    <row r="113" spans="5:11" x14ac:dyDescent="0.45">
      <c r="E113" t="s">
        <v>1</v>
      </c>
      <c r="F113" t="s">
        <v>4</v>
      </c>
      <c r="G113" t="s">
        <v>5</v>
      </c>
      <c r="H113" t="s">
        <v>2</v>
      </c>
      <c r="I113" t="s">
        <v>3</v>
      </c>
      <c r="J113" t="s">
        <v>49</v>
      </c>
      <c r="K113" s="1" t="s">
        <v>50</v>
      </c>
    </row>
    <row r="114" spans="5:11" x14ac:dyDescent="0.45">
      <c r="E114" t="s">
        <v>85</v>
      </c>
      <c r="F114">
        <v>1</v>
      </c>
      <c r="G114">
        <v>2</v>
      </c>
      <c r="H114">
        <v>3</v>
      </c>
      <c r="I114">
        <v>30</v>
      </c>
      <c r="J114">
        <f t="shared" ref="J114:J130" si="13">AVERAGE(F114,G114)*I114</f>
        <v>45</v>
      </c>
      <c r="K114" s="1">
        <f>J114/SUM(J$114:J$130)</f>
        <v>6.3829787234042548E-2</v>
      </c>
    </row>
    <row r="115" spans="5:11" x14ac:dyDescent="0.45">
      <c r="E115" t="s">
        <v>61</v>
      </c>
      <c r="F115">
        <v>1</v>
      </c>
      <c r="G115">
        <v>2</v>
      </c>
      <c r="H115">
        <v>2</v>
      </c>
      <c r="I115">
        <v>30</v>
      </c>
      <c r="J115">
        <f t="shared" si="13"/>
        <v>45</v>
      </c>
      <c r="K115" s="1">
        <f t="shared" ref="K115:K130" si="14">J115/SUM(J$114:J$130)</f>
        <v>6.3829787234042548E-2</v>
      </c>
    </row>
    <row r="116" spans="5:11" x14ac:dyDescent="0.45">
      <c r="E116" t="s">
        <v>58</v>
      </c>
      <c r="F116">
        <v>1</v>
      </c>
      <c r="G116">
        <v>2</v>
      </c>
      <c r="H116">
        <v>2</v>
      </c>
      <c r="I116">
        <v>30</v>
      </c>
      <c r="J116">
        <f t="shared" si="13"/>
        <v>45</v>
      </c>
      <c r="K116" s="1">
        <f t="shared" si="14"/>
        <v>6.3829787234042548E-2</v>
      </c>
    </row>
    <row r="117" spans="5:11" x14ac:dyDescent="0.45">
      <c r="E117" t="s">
        <v>56</v>
      </c>
      <c r="F117">
        <v>1</v>
      </c>
      <c r="G117">
        <v>2</v>
      </c>
      <c r="H117">
        <v>2</v>
      </c>
      <c r="I117">
        <v>30</v>
      </c>
      <c r="J117">
        <f t="shared" si="13"/>
        <v>45</v>
      </c>
      <c r="K117" s="1">
        <f t="shared" si="14"/>
        <v>6.3829787234042548E-2</v>
      </c>
    </row>
    <row r="118" spans="5:11" x14ac:dyDescent="0.45">
      <c r="E118" t="s">
        <v>55</v>
      </c>
      <c r="F118">
        <v>1</v>
      </c>
      <c r="G118">
        <v>2</v>
      </c>
      <c r="H118">
        <v>2</v>
      </c>
      <c r="I118">
        <v>30</v>
      </c>
      <c r="J118">
        <f t="shared" si="13"/>
        <v>45</v>
      </c>
      <c r="K118" s="1">
        <f t="shared" si="14"/>
        <v>6.3829787234042548E-2</v>
      </c>
    </row>
    <row r="119" spans="5:11" x14ac:dyDescent="0.45">
      <c r="E119" t="s">
        <v>86</v>
      </c>
      <c r="F119">
        <v>1</v>
      </c>
      <c r="G119">
        <v>2</v>
      </c>
      <c r="H119">
        <v>3</v>
      </c>
      <c r="I119">
        <v>30</v>
      </c>
      <c r="J119">
        <f t="shared" si="13"/>
        <v>45</v>
      </c>
      <c r="K119" s="1">
        <f t="shared" si="14"/>
        <v>6.3829787234042548E-2</v>
      </c>
    </row>
    <row r="120" spans="5:11" x14ac:dyDescent="0.45">
      <c r="E120" t="s">
        <v>87</v>
      </c>
      <c r="F120">
        <v>1</v>
      </c>
      <c r="G120">
        <v>1</v>
      </c>
      <c r="H120">
        <v>5</v>
      </c>
      <c r="I120">
        <v>30</v>
      </c>
      <c r="J120">
        <f t="shared" si="13"/>
        <v>30</v>
      </c>
      <c r="K120" s="1">
        <f t="shared" si="14"/>
        <v>4.2553191489361701E-2</v>
      </c>
    </row>
    <row r="121" spans="5:11" x14ac:dyDescent="0.45">
      <c r="E121" t="s">
        <v>57</v>
      </c>
      <c r="F121">
        <v>1</v>
      </c>
      <c r="G121">
        <v>2</v>
      </c>
      <c r="H121">
        <v>2</v>
      </c>
      <c r="I121">
        <v>30</v>
      </c>
      <c r="J121">
        <f t="shared" si="13"/>
        <v>45</v>
      </c>
      <c r="K121" s="1">
        <f t="shared" si="14"/>
        <v>6.3829787234042548E-2</v>
      </c>
    </row>
    <row r="122" spans="5:11" x14ac:dyDescent="0.45">
      <c r="E122" t="s">
        <v>88</v>
      </c>
      <c r="F122">
        <v>1</v>
      </c>
      <c r="G122">
        <v>2</v>
      </c>
      <c r="H122">
        <v>1</v>
      </c>
      <c r="I122">
        <v>30</v>
      </c>
      <c r="J122">
        <f t="shared" si="13"/>
        <v>45</v>
      </c>
      <c r="K122" s="1">
        <f t="shared" si="14"/>
        <v>6.3829787234042548E-2</v>
      </c>
    </row>
    <row r="123" spans="5:11" x14ac:dyDescent="0.45">
      <c r="E123" t="s">
        <v>89</v>
      </c>
      <c r="F123">
        <v>1</v>
      </c>
      <c r="G123">
        <v>2</v>
      </c>
      <c r="H123">
        <v>2</v>
      </c>
      <c r="I123">
        <v>30</v>
      </c>
      <c r="J123">
        <f t="shared" si="13"/>
        <v>45</v>
      </c>
      <c r="K123" s="1">
        <f t="shared" si="14"/>
        <v>6.3829787234042548E-2</v>
      </c>
    </row>
    <row r="124" spans="5:11" x14ac:dyDescent="0.45">
      <c r="E124" t="s">
        <v>90</v>
      </c>
      <c r="F124">
        <v>1</v>
      </c>
      <c r="G124">
        <v>2</v>
      </c>
      <c r="H124">
        <v>1</v>
      </c>
      <c r="I124">
        <v>30</v>
      </c>
      <c r="J124">
        <f t="shared" si="13"/>
        <v>45</v>
      </c>
      <c r="K124" s="1">
        <f t="shared" si="14"/>
        <v>6.3829787234042548E-2</v>
      </c>
    </row>
    <row r="125" spans="5:11" x14ac:dyDescent="0.45">
      <c r="E125" t="s">
        <v>82</v>
      </c>
      <c r="F125">
        <v>1</v>
      </c>
      <c r="G125">
        <v>1</v>
      </c>
      <c r="H125">
        <v>3</v>
      </c>
      <c r="I125">
        <v>30</v>
      </c>
      <c r="J125">
        <f t="shared" si="13"/>
        <v>30</v>
      </c>
      <c r="K125" s="1">
        <f t="shared" si="14"/>
        <v>4.2553191489361701E-2</v>
      </c>
    </row>
    <row r="126" spans="5:11" x14ac:dyDescent="0.45">
      <c r="E126" t="s">
        <v>37</v>
      </c>
      <c r="F126">
        <v>1</v>
      </c>
      <c r="G126">
        <v>4</v>
      </c>
      <c r="H126">
        <v>1</v>
      </c>
      <c r="I126">
        <v>30</v>
      </c>
      <c r="J126">
        <f t="shared" si="13"/>
        <v>75</v>
      </c>
      <c r="K126" s="1">
        <f t="shared" si="14"/>
        <v>0.10638297872340426</v>
      </c>
    </row>
    <row r="127" spans="5:11" x14ac:dyDescent="0.45">
      <c r="E127" t="s">
        <v>91</v>
      </c>
      <c r="F127">
        <v>1</v>
      </c>
      <c r="G127">
        <v>2</v>
      </c>
      <c r="H127">
        <v>3</v>
      </c>
      <c r="I127">
        <v>30</v>
      </c>
      <c r="J127">
        <f t="shared" si="13"/>
        <v>45</v>
      </c>
      <c r="K127" s="1">
        <f t="shared" si="14"/>
        <v>6.3829787234042548E-2</v>
      </c>
    </row>
    <row r="128" spans="5:11" x14ac:dyDescent="0.45">
      <c r="E128" t="s">
        <v>92</v>
      </c>
      <c r="F128">
        <v>1</v>
      </c>
      <c r="G128">
        <v>1</v>
      </c>
      <c r="H128">
        <v>3</v>
      </c>
      <c r="I128">
        <v>30</v>
      </c>
      <c r="J128">
        <f t="shared" si="13"/>
        <v>30</v>
      </c>
      <c r="K128" s="1">
        <f t="shared" si="14"/>
        <v>4.2553191489361701E-2</v>
      </c>
    </row>
    <row r="129" spans="5:11" x14ac:dyDescent="0.45">
      <c r="E129" t="s">
        <v>93</v>
      </c>
      <c r="F129">
        <v>1</v>
      </c>
      <c r="G129">
        <v>1</v>
      </c>
      <c r="H129">
        <v>2</v>
      </c>
      <c r="I129">
        <v>30</v>
      </c>
      <c r="J129">
        <f t="shared" si="13"/>
        <v>30</v>
      </c>
      <c r="K129" s="1">
        <f t="shared" si="14"/>
        <v>4.2553191489361701E-2</v>
      </c>
    </row>
    <row r="130" spans="5:11" x14ac:dyDescent="0.45">
      <c r="E130" t="s">
        <v>48</v>
      </c>
      <c r="F130">
        <v>1</v>
      </c>
      <c r="G130">
        <v>2</v>
      </c>
      <c r="H130">
        <v>2</v>
      </c>
      <c r="I130">
        <v>10</v>
      </c>
      <c r="J130">
        <f t="shared" si="13"/>
        <v>15</v>
      </c>
      <c r="K130" s="1">
        <f t="shared" si="14"/>
        <v>2.1276595744680851E-2</v>
      </c>
    </row>
    <row r="133" spans="5:11" x14ac:dyDescent="0.45">
      <c r="E133" t="s">
        <v>94</v>
      </c>
    </row>
    <row r="134" spans="5:11" x14ac:dyDescent="0.45">
      <c r="E134" t="s">
        <v>1</v>
      </c>
      <c r="F134" t="s">
        <v>4</v>
      </c>
      <c r="G134" t="s">
        <v>5</v>
      </c>
      <c r="H134" t="s">
        <v>2</v>
      </c>
      <c r="I134" t="s">
        <v>3</v>
      </c>
      <c r="J134" t="s">
        <v>49</v>
      </c>
      <c r="K134" s="1" t="s">
        <v>50</v>
      </c>
    </row>
    <row r="135" spans="5:11" x14ac:dyDescent="0.45">
      <c r="E135" t="s">
        <v>36</v>
      </c>
      <c r="F135">
        <v>1</v>
      </c>
      <c r="G135">
        <v>1</v>
      </c>
      <c r="H135">
        <v>1</v>
      </c>
      <c r="I135">
        <v>5</v>
      </c>
      <c r="J135">
        <f t="shared" ref="J135:J154" si="15">AVERAGE(F135,G135)*I135</f>
        <v>5</v>
      </c>
      <c r="K135" s="1">
        <f>J135/SUM(J$135:J$154)</f>
        <v>4.3687199650502403E-3</v>
      </c>
    </row>
    <row r="136" spans="5:11" x14ac:dyDescent="0.45">
      <c r="E136" t="s">
        <v>95</v>
      </c>
      <c r="F136">
        <v>1</v>
      </c>
      <c r="G136">
        <v>2</v>
      </c>
      <c r="H136">
        <v>2</v>
      </c>
      <c r="I136">
        <v>5</v>
      </c>
      <c r="J136">
        <f t="shared" si="15"/>
        <v>7.5</v>
      </c>
      <c r="K136" s="1">
        <f t="shared" ref="K136:K154" si="16">J136/SUM(J$135:J$154)</f>
        <v>6.55307994757536E-3</v>
      </c>
    </row>
    <row r="137" spans="5:11" x14ac:dyDescent="0.45">
      <c r="E137" t="s">
        <v>96</v>
      </c>
      <c r="F137">
        <v>1</v>
      </c>
      <c r="G137">
        <v>2</v>
      </c>
      <c r="H137">
        <v>1</v>
      </c>
      <c r="I137">
        <v>5</v>
      </c>
      <c r="J137">
        <f t="shared" si="15"/>
        <v>7.5</v>
      </c>
      <c r="K137" s="1">
        <f t="shared" si="16"/>
        <v>6.55307994757536E-3</v>
      </c>
    </row>
    <row r="138" spans="5:11" x14ac:dyDescent="0.45">
      <c r="E138" t="s">
        <v>97</v>
      </c>
      <c r="F138">
        <v>1</v>
      </c>
      <c r="G138">
        <v>2</v>
      </c>
      <c r="H138">
        <v>2</v>
      </c>
      <c r="I138">
        <v>2</v>
      </c>
      <c r="J138">
        <f t="shared" si="15"/>
        <v>3</v>
      </c>
      <c r="K138" s="1">
        <f t="shared" si="16"/>
        <v>2.6212319790301442E-3</v>
      </c>
    </row>
    <row r="139" spans="5:11" x14ac:dyDescent="0.45">
      <c r="E139" t="s">
        <v>98</v>
      </c>
      <c r="F139">
        <v>1</v>
      </c>
      <c r="G139">
        <v>2</v>
      </c>
      <c r="H139">
        <v>2</v>
      </c>
      <c r="I139">
        <v>1</v>
      </c>
      <c r="J139">
        <f t="shared" si="15"/>
        <v>1.5</v>
      </c>
      <c r="K139" s="1">
        <f t="shared" si="16"/>
        <v>1.3106159895150721E-3</v>
      </c>
    </row>
    <row r="140" spans="5:11" x14ac:dyDescent="0.45">
      <c r="E140" t="s">
        <v>99</v>
      </c>
      <c r="F140">
        <v>1</v>
      </c>
      <c r="G140">
        <v>1</v>
      </c>
      <c r="H140">
        <v>2</v>
      </c>
      <c r="I140">
        <v>5</v>
      </c>
      <c r="J140">
        <f t="shared" si="15"/>
        <v>5</v>
      </c>
      <c r="K140" s="1">
        <f t="shared" si="16"/>
        <v>4.3687199650502403E-3</v>
      </c>
    </row>
    <row r="141" spans="5:11" x14ac:dyDescent="0.45">
      <c r="E141" t="s">
        <v>100</v>
      </c>
      <c r="F141">
        <v>1</v>
      </c>
      <c r="G141">
        <v>1</v>
      </c>
      <c r="H141">
        <v>1</v>
      </c>
      <c r="I141">
        <v>10</v>
      </c>
      <c r="J141">
        <f t="shared" si="15"/>
        <v>10</v>
      </c>
      <c r="K141" s="1">
        <f t="shared" si="16"/>
        <v>8.7374399301004806E-3</v>
      </c>
    </row>
    <row r="142" spans="5:11" x14ac:dyDescent="0.45">
      <c r="E142" t="s">
        <v>79</v>
      </c>
      <c r="F142">
        <v>1</v>
      </c>
      <c r="G142">
        <v>3</v>
      </c>
      <c r="H142">
        <v>1</v>
      </c>
      <c r="I142">
        <v>40</v>
      </c>
      <c r="J142">
        <f t="shared" si="15"/>
        <v>80</v>
      </c>
      <c r="K142" s="1">
        <f t="shared" si="16"/>
        <v>6.9899519440803845E-2</v>
      </c>
    </row>
    <row r="143" spans="5:11" x14ac:dyDescent="0.45">
      <c r="E143" t="s">
        <v>101</v>
      </c>
      <c r="F143">
        <v>1</v>
      </c>
      <c r="G143">
        <v>1</v>
      </c>
      <c r="H143">
        <v>2</v>
      </c>
      <c r="I143">
        <v>50</v>
      </c>
      <c r="J143">
        <f t="shared" si="15"/>
        <v>50</v>
      </c>
      <c r="K143" s="1">
        <f t="shared" si="16"/>
        <v>4.3687199650502405E-2</v>
      </c>
    </row>
    <row r="144" spans="5:11" x14ac:dyDescent="0.45">
      <c r="E144" t="s">
        <v>102</v>
      </c>
      <c r="F144">
        <v>1</v>
      </c>
      <c r="G144">
        <v>4</v>
      </c>
      <c r="H144">
        <v>1</v>
      </c>
      <c r="I144">
        <v>50</v>
      </c>
      <c r="J144">
        <f t="shared" si="15"/>
        <v>125</v>
      </c>
      <c r="K144" s="1">
        <f t="shared" si="16"/>
        <v>0.109217999126256</v>
      </c>
    </row>
    <row r="145" spans="5:11" x14ac:dyDescent="0.45">
      <c r="E145" t="s">
        <v>62</v>
      </c>
      <c r="F145">
        <v>1</v>
      </c>
      <c r="G145">
        <v>2</v>
      </c>
      <c r="H145">
        <v>1</v>
      </c>
      <c r="I145">
        <v>50</v>
      </c>
      <c r="J145">
        <f t="shared" si="15"/>
        <v>75</v>
      </c>
      <c r="K145" s="1">
        <f t="shared" si="16"/>
        <v>6.5530799475753604E-2</v>
      </c>
    </row>
    <row r="146" spans="5:11" x14ac:dyDescent="0.45">
      <c r="E146" t="s">
        <v>103</v>
      </c>
      <c r="F146">
        <v>1</v>
      </c>
      <c r="G146">
        <v>4</v>
      </c>
      <c r="H146">
        <v>1</v>
      </c>
      <c r="I146">
        <v>50</v>
      </c>
      <c r="J146">
        <f t="shared" si="15"/>
        <v>125</v>
      </c>
      <c r="K146" s="1">
        <f t="shared" si="16"/>
        <v>0.109217999126256</v>
      </c>
    </row>
    <row r="147" spans="5:11" x14ac:dyDescent="0.45">
      <c r="E147" t="s">
        <v>104</v>
      </c>
      <c r="F147">
        <v>1</v>
      </c>
      <c r="G147">
        <v>4</v>
      </c>
      <c r="H147">
        <v>1</v>
      </c>
      <c r="I147">
        <v>50</v>
      </c>
      <c r="J147">
        <f t="shared" si="15"/>
        <v>125</v>
      </c>
      <c r="K147" s="1">
        <f t="shared" si="16"/>
        <v>0.109217999126256</v>
      </c>
    </row>
    <row r="148" spans="5:11" x14ac:dyDescent="0.45">
      <c r="E148" t="s">
        <v>63</v>
      </c>
      <c r="F148">
        <v>1</v>
      </c>
      <c r="G148">
        <v>2</v>
      </c>
      <c r="H148">
        <v>1</v>
      </c>
      <c r="I148">
        <v>50</v>
      </c>
      <c r="J148">
        <f t="shared" si="15"/>
        <v>75</v>
      </c>
      <c r="K148" s="1">
        <f t="shared" si="16"/>
        <v>6.5530799475753604E-2</v>
      </c>
    </row>
    <row r="149" spans="5:11" x14ac:dyDescent="0.45">
      <c r="E149" t="s">
        <v>105</v>
      </c>
      <c r="F149">
        <v>1</v>
      </c>
      <c r="G149">
        <v>2</v>
      </c>
      <c r="H149">
        <v>1</v>
      </c>
      <c r="I149">
        <v>50</v>
      </c>
      <c r="J149">
        <f t="shared" si="15"/>
        <v>75</v>
      </c>
      <c r="K149" s="1">
        <f t="shared" si="16"/>
        <v>6.5530799475753604E-2</v>
      </c>
    </row>
    <row r="150" spans="5:11" x14ac:dyDescent="0.45">
      <c r="E150" t="s">
        <v>106</v>
      </c>
      <c r="F150">
        <v>1</v>
      </c>
      <c r="G150">
        <v>2</v>
      </c>
      <c r="H150">
        <v>1</v>
      </c>
      <c r="I150">
        <v>50</v>
      </c>
      <c r="J150">
        <f t="shared" si="15"/>
        <v>75</v>
      </c>
      <c r="K150" s="1">
        <f t="shared" si="16"/>
        <v>6.5530799475753604E-2</v>
      </c>
    </row>
    <row r="151" spans="5:11" x14ac:dyDescent="0.45">
      <c r="E151" t="s">
        <v>107</v>
      </c>
      <c r="F151">
        <v>1</v>
      </c>
      <c r="G151">
        <v>4</v>
      </c>
      <c r="H151">
        <v>1</v>
      </c>
      <c r="I151">
        <v>50</v>
      </c>
      <c r="J151">
        <f t="shared" si="15"/>
        <v>125</v>
      </c>
      <c r="K151" s="1">
        <f t="shared" si="16"/>
        <v>0.109217999126256</v>
      </c>
    </row>
    <row r="152" spans="5:11" x14ac:dyDescent="0.45">
      <c r="E152" t="s">
        <v>108</v>
      </c>
      <c r="F152">
        <v>1</v>
      </c>
      <c r="G152">
        <v>2</v>
      </c>
      <c r="H152">
        <v>1</v>
      </c>
      <c r="I152">
        <v>50</v>
      </c>
      <c r="J152">
        <f t="shared" si="15"/>
        <v>75</v>
      </c>
      <c r="K152" s="1">
        <f t="shared" si="16"/>
        <v>6.5530799475753604E-2</v>
      </c>
    </row>
    <row r="153" spans="5:11" x14ac:dyDescent="0.45">
      <c r="E153" t="s">
        <v>109</v>
      </c>
      <c r="F153">
        <v>1</v>
      </c>
      <c r="G153">
        <v>1</v>
      </c>
      <c r="H153">
        <v>3</v>
      </c>
      <c r="I153">
        <v>50</v>
      </c>
      <c r="J153">
        <f t="shared" si="15"/>
        <v>50</v>
      </c>
      <c r="K153" s="1">
        <f t="shared" si="16"/>
        <v>4.3687199650502405E-2</v>
      </c>
    </row>
    <row r="154" spans="5:11" x14ac:dyDescent="0.45">
      <c r="E154" t="s">
        <v>110</v>
      </c>
      <c r="F154">
        <v>1</v>
      </c>
      <c r="G154">
        <v>1</v>
      </c>
      <c r="H154">
        <v>2</v>
      </c>
      <c r="I154">
        <v>50</v>
      </c>
      <c r="J154">
        <f t="shared" si="15"/>
        <v>50</v>
      </c>
      <c r="K154" s="1">
        <f t="shared" si="16"/>
        <v>4.3687199650502405E-2</v>
      </c>
    </row>
    <row r="157" spans="5:11" x14ac:dyDescent="0.45">
      <c r="E157" t="s">
        <v>111</v>
      </c>
    </row>
    <row r="158" spans="5:11" x14ac:dyDescent="0.45">
      <c r="E158" t="s">
        <v>1</v>
      </c>
      <c r="F158" t="s">
        <v>4</v>
      </c>
      <c r="G158" t="s">
        <v>5</v>
      </c>
      <c r="H158" t="s">
        <v>2</v>
      </c>
      <c r="I158" t="s">
        <v>3</v>
      </c>
      <c r="J158" t="s">
        <v>49</v>
      </c>
      <c r="K158" s="1" t="s">
        <v>50</v>
      </c>
    </row>
    <row r="159" spans="5:11" x14ac:dyDescent="0.45">
      <c r="E159" t="s">
        <v>112</v>
      </c>
      <c r="F159">
        <v>3</v>
      </c>
      <c r="G159">
        <v>5</v>
      </c>
      <c r="H159">
        <v>1</v>
      </c>
      <c r="I159">
        <v>1</v>
      </c>
      <c r="J159">
        <f t="shared" ref="J159:J169" si="17">AVERAGE(F159,G159)*I159</f>
        <v>4</v>
      </c>
      <c r="K159" s="1">
        <f>J159/SUM(J$159:J$169)</f>
        <v>0.13559322033898305</v>
      </c>
    </row>
    <row r="160" spans="5:11" x14ac:dyDescent="0.45">
      <c r="E160" t="s">
        <v>113</v>
      </c>
      <c r="F160">
        <v>2</v>
      </c>
      <c r="G160">
        <v>4</v>
      </c>
      <c r="H160">
        <v>1</v>
      </c>
      <c r="I160">
        <v>1</v>
      </c>
      <c r="J160">
        <f t="shared" si="17"/>
        <v>3</v>
      </c>
      <c r="K160" s="1">
        <f t="shared" ref="K160:K169" si="18">J160/SUM(J$159:J$169)</f>
        <v>0.10169491525423729</v>
      </c>
    </row>
    <row r="161" spans="5:11" x14ac:dyDescent="0.45">
      <c r="E161" t="s">
        <v>114</v>
      </c>
      <c r="F161">
        <v>3</v>
      </c>
      <c r="G161">
        <v>5</v>
      </c>
      <c r="H161">
        <v>1</v>
      </c>
      <c r="I161">
        <v>1</v>
      </c>
      <c r="J161">
        <f t="shared" si="17"/>
        <v>4</v>
      </c>
      <c r="K161" s="1">
        <f t="shared" si="18"/>
        <v>0.13559322033898305</v>
      </c>
    </row>
    <row r="162" spans="5:11" x14ac:dyDescent="0.45">
      <c r="E162" t="s">
        <v>115</v>
      </c>
      <c r="F162">
        <v>1</v>
      </c>
      <c r="G162">
        <v>3</v>
      </c>
      <c r="H162">
        <v>1</v>
      </c>
      <c r="I162">
        <v>1</v>
      </c>
      <c r="J162">
        <f t="shared" si="17"/>
        <v>2</v>
      </c>
      <c r="K162" s="1">
        <f t="shared" si="18"/>
        <v>6.7796610169491525E-2</v>
      </c>
    </row>
    <row r="163" spans="5:11" x14ac:dyDescent="0.45">
      <c r="E163" t="s">
        <v>116</v>
      </c>
      <c r="F163">
        <v>1</v>
      </c>
      <c r="G163">
        <v>3</v>
      </c>
      <c r="H163">
        <v>1</v>
      </c>
      <c r="I163">
        <v>1</v>
      </c>
      <c r="J163">
        <f t="shared" si="17"/>
        <v>2</v>
      </c>
      <c r="K163" s="1">
        <f t="shared" si="18"/>
        <v>6.7796610169491525E-2</v>
      </c>
    </row>
    <row r="164" spans="5:11" x14ac:dyDescent="0.45">
      <c r="E164" t="s">
        <v>117</v>
      </c>
      <c r="F164">
        <v>1</v>
      </c>
      <c r="G164">
        <v>1</v>
      </c>
      <c r="H164">
        <v>1</v>
      </c>
      <c r="I164">
        <v>1</v>
      </c>
      <c r="J164">
        <f t="shared" si="17"/>
        <v>1</v>
      </c>
      <c r="K164" s="1">
        <f t="shared" si="18"/>
        <v>3.3898305084745763E-2</v>
      </c>
    </row>
    <row r="165" spans="5:11" x14ac:dyDescent="0.45">
      <c r="E165" t="s">
        <v>118</v>
      </c>
      <c r="F165">
        <v>1</v>
      </c>
      <c r="G165">
        <v>3</v>
      </c>
      <c r="H165">
        <v>1</v>
      </c>
      <c r="I165">
        <v>1</v>
      </c>
      <c r="J165">
        <f t="shared" si="17"/>
        <v>2</v>
      </c>
      <c r="K165" s="1">
        <f t="shared" si="18"/>
        <v>6.7796610169491525E-2</v>
      </c>
    </row>
    <row r="166" spans="5:11" x14ac:dyDescent="0.45">
      <c r="E166" t="s">
        <v>119</v>
      </c>
      <c r="F166">
        <v>2</v>
      </c>
      <c r="G166">
        <v>5</v>
      </c>
      <c r="H166">
        <v>1</v>
      </c>
      <c r="I166">
        <v>1</v>
      </c>
      <c r="J166">
        <f t="shared" si="17"/>
        <v>3.5</v>
      </c>
      <c r="K166" s="1">
        <f t="shared" si="18"/>
        <v>0.11864406779661017</v>
      </c>
    </row>
    <row r="167" spans="5:11" x14ac:dyDescent="0.45">
      <c r="E167" t="s">
        <v>120</v>
      </c>
      <c r="F167">
        <v>1</v>
      </c>
      <c r="G167">
        <v>3</v>
      </c>
      <c r="H167">
        <v>1</v>
      </c>
      <c r="I167">
        <v>1</v>
      </c>
      <c r="J167">
        <f t="shared" si="17"/>
        <v>2</v>
      </c>
      <c r="K167" s="1">
        <f t="shared" si="18"/>
        <v>6.7796610169491525E-2</v>
      </c>
    </row>
    <row r="168" spans="5:11" x14ac:dyDescent="0.45">
      <c r="E168" t="s">
        <v>122</v>
      </c>
      <c r="F168">
        <v>1</v>
      </c>
      <c r="G168">
        <v>3</v>
      </c>
      <c r="H168">
        <v>1</v>
      </c>
      <c r="I168">
        <v>1</v>
      </c>
      <c r="J168">
        <f t="shared" si="17"/>
        <v>2</v>
      </c>
      <c r="K168" s="1">
        <f t="shared" si="18"/>
        <v>6.7796610169491525E-2</v>
      </c>
    </row>
    <row r="169" spans="5:11" x14ac:dyDescent="0.45">
      <c r="E169" t="s">
        <v>121</v>
      </c>
      <c r="F169">
        <v>3</v>
      </c>
      <c r="G169">
        <v>5</v>
      </c>
      <c r="H169">
        <v>1</v>
      </c>
      <c r="I169">
        <v>1</v>
      </c>
      <c r="J169">
        <f t="shared" si="17"/>
        <v>4</v>
      </c>
      <c r="K169" s="1">
        <f t="shared" si="18"/>
        <v>0.13559322033898305</v>
      </c>
    </row>
    <row r="172" spans="5:11" x14ac:dyDescent="0.45">
      <c r="E172" t="s">
        <v>123</v>
      </c>
    </row>
    <row r="173" spans="5:11" x14ac:dyDescent="0.45">
      <c r="E173" t="s">
        <v>1</v>
      </c>
      <c r="F173" t="s">
        <v>4</v>
      </c>
      <c r="G173" t="s">
        <v>5</v>
      </c>
      <c r="H173" t="s">
        <v>2</v>
      </c>
      <c r="I173" t="s">
        <v>3</v>
      </c>
      <c r="J173" t="s">
        <v>49</v>
      </c>
      <c r="K173" s="1" t="s">
        <v>50</v>
      </c>
    </row>
    <row r="174" spans="5:11" x14ac:dyDescent="0.45">
      <c r="E174" t="s">
        <v>145</v>
      </c>
      <c r="F174">
        <v>1</v>
      </c>
      <c r="G174">
        <v>2</v>
      </c>
      <c r="H174">
        <v>2</v>
      </c>
      <c r="I174">
        <v>1</v>
      </c>
      <c r="J174">
        <f t="shared" ref="J174:J199" si="19">AVERAGE(F174,G174)*I174</f>
        <v>1.5</v>
      </c>
      <c r="K174" s="1">
        <f>J174/SUM(J$174:J$199)</f>
        <v>4.0540540540540543E-2</v>
      </c>
    </row>
    <row r="175" spans="5:11" x14ac:dyDescent="0.45">
      <c r="E175" t="s">
        <v>146</v>
      </c>
      <c r="F175">
        <v>1</v>
      </c>
      <c r="G175">
        <v>2</v>
      </c>
      <c r="H175">
        <v>2</v>
      </c>
      <c r="I175">
        <v>1</v>
      </c>
      <c r="J175">
        <f t="shared" si="19"/>
        <v>1.5</v>
      </c>
      <c r="K175" s="1">
        <f t="shared" ref="K175:K198" si="20">J175/SUM(J$174:J$199)</f>
        <v>4.0540540540540543E-2</v>
      </c>
    </row>
    <row r="176" spans="5:11" x14ac:dyDescent="0.45">
      <c r="E176" t="s">
        <v>34</v>
      </c>
      <c r="F176">
        <v>1</v>
      </c>
      <c r="G176">
        <v>2</v>
      </c>
      <c r="H176">
        <v>2</v>
      </c>
      <c r="I176">
        <v>1</v>
      </c>
      <c r="J176">
        <f t="shared" si="19"/>
        <v>1.5</v>
      </c>
      <c r="K176" s="1">
        <f t="shared" si="20"/>
        <v>4.0540540540540543E-2</v>
      </c>
    </row>
    <row r="177" spans="5:11" x14ac:dyDescent="0.45">
      <c r="E177" t="s">
        <v>124</v>
      </c>
      <c r="F177">
        <v>1</v>
      </c>
      <c r="G177">
        <v>3</v>
      </c>
      <c r="H177">
        <v>2</v>
      </c>
      <c r="I177">
        <v>1</v>
      </c>
      <c r="J177">
        <f t="shared" si="19"/>
        <v>2</v>
      </c>
      <c r="K177" s="1">
        <f t="shared" si="20"/>
        <v>5.4054054054054057E-2</v>
      </c>
    </row>
    <row r="178" spans="5:11" x14ac:dyDescent="0.45">
      <c r="E178" t="s">
        <v>125</v>
      </c>
      <c r="F178">
        <v>1</v>
      </c>
      <c r="G178">
        <v>2</v>
      </c>
      <c r="H178">
        <v>2</v>
      </c>
      <c r="I178">
        <v>1</v>
      </c>
      <c r="J178">
        <f t="shared" si="19"/>
        <v>1.5</v>
      </c>
      <c r="K178" s="1">
        <f t="shared" si="20"/>
        <v>4.0540540540540543E-2</v>
      </c>
    </row>
    <row r="179" spans="5:11" x14ac:dyDescent="0.45">
      <c r="E179" t="s">
        <v>126</v>
      </c>
      <c r="F179">
        <v>1</v>
      </c>
      <c r="G179">
        <v>2</v>
      </c>
      <c r="H179">
        <v>2</v>
      </c>
      <c r="I179">
        <v>1</v>
      </c>
      <c r="J179">
        <f t="shared" si="19"/>
        <v>1.5</v>
      </c>
      <c r="K179" s="1">
        <f t="shared" si="20"/>
        <v>4.0540540540540543E-2</v>
      </c>
    </row>
    <row r="180" spans="5:11" x14ac:dyDescent="0.45">
      <c r="E180" t="s">
        <v>127</v>
      </c>
      <c r="F180">
        <v>1</v>
      </c>
      <c r="G180">
        <v>2</v>
      </c>
      <c r="H180">
        <v>3</v>
      </c>
      <c r="I180">
        <v>1</v>
      </c>
      <c r="J180">
        <f t="shared" si="19"/>
        <v>1.5</v>
      </c>
      <c r="K180" s="1">
        <f t="shared" si="20"/>
        <v>4.0540540540540543E-2</v>
      </c>
    </row>
    <row r="181" spans="5:11" x14ac:dyDescent="0.45">
      <c r="E181" t="s">
        <v>128</v>
      </c>
      <c r="F181">
        <v>1</v>
      </c>
      <c r="G181">
        <v>2</v>
      </c>
      <c r="H181">
        <v>3</v>
      </c>
      <c r="I181">
        <v>1</v>
      </c>
      <c r="J181">
        <f t="shared" si="19"/>
        <v>1.5</v>
      </c>
      <c r="K181" s="1">
        <f t="shared" si="20"/>
        <v>4.0540540540540543E-2</v>
      </c>
    </row>
    <row r="182" spans="5:11" x14ac:dyDescent="0.45">
      <c r="E182" t="s">
        <v>129</v>
      </c>
      <c r="F182">
        <v>1</v>
      </c>
      <c r="G182">
        <v>1</v>
      </c>
      <c r="H182">
        <v>4</v>
      </c>
      <c r="I182">
        <v>1</v>
      </c>
      <c r="J182">
        <f t="shared" si="19"/>
        <v>1</v>
      </c>
      <c r="K182" s="1">
        <f t="shared" si="20"/>
        <v>2.7027027027027029E-2</v>
      </c>
    </row>
    <row r="183" spans="5:11" x14ac:dyDescent="0.45">
      <c r="E183" t="s">
        <v>130</v>
      </c>
      <c r="F183">
        <v>1</v>
      </c>
      <c r="G183">
        <v>2</v>
      </c>
      <c r="H183">
        <v>2</v>
      </c>
      <c r="I183">
        <v>1</v>
      </c>
      <c r="J183">
        <f t="shared" si="19"/>
        <v>1.5</v>
      </c>
      <c r="K183" s="1">
        <f t="shared" si="20"/>
        <v>4.0540540540540543E-2</v>
      </c>
    </row>
    <row r="184" spans="5:11" x14ac:dyDescent="0.45">
      <c r="E184" t="s">
        <v>131</v>
      </c>
      <c r="F184">
        <v>1</v>
      </c>
      <c r="G184">
        <v>2</v>
      </c>
      <c r="H184">
        <v>2</v>
      </c>
      <c r="I184">
        <v>1</v>
      </c>
      <c r="J184">
        <f t="shared" si="19"/>
        <v>1.5</v>
      </c>
      <c r="K184" s="1">
        <f t="shared" si="20"/>
        <v>4.0540540540540543E-2</v>
      </c>
    </row>
    <row r="185" spans="5:11" x14ac:dyDescent="0.45">
      <c r="E185" t="s">
        <v>132</v>
      </c>
      <c r="F185">
        <v>1</v>
      </c>
      <c r="G185">
        <v>2</v>
      </c>
      <c r="H185">
        <v>2</v>
      </c>
      <c r="I185">
        <v>1</v>
      </c>
      <c r="J185">
        <f t="shared" si="19"/>
        <v>1.5</v>
      </c>
      <c r="K185" s="1">
        <f t="shared" si="20"/>
        <v>4.0540540540540543E-2</v>
      </c>
    </row>
    <row r="186" spans="5:11" x14ac:dyDescent="0.45">
      <c r="E186" t="s">
        <v>133</v>
      </c>
      <c r="F186">
        <v>1</v>
      </c>
      <c r="G186">
        <v>2</v>
      </c>
      <c r="H186">
        <v>2</v>
      </c>
      <c r="I186">
        <v>1</v>
      </c>
      <c r="J186">
        <f t="shared" si="19"/>
        <v>1.5</v>
      </c>
      <c r="K186" s="1">
        <f t="shared" si="20"/>
        <v>4.0540540540540543E-2</v>
      </c>
    </row>
    <row r="187" spans="5:11" x14ac:dyDescent="0.45">
      <c r="E187" t="s">
        <v>134</v>
      </c>
      <c r="F187">
        <v>1</v>
      </c>
      <c r="G187">
        <v>2</v>
      </c>
      <c r="H187">
        <v>2</v>
      </c>
      <c r="I187">
        <v>1</v>
      </c>
      <c r="J187">
        <f t="shared" si="19"/>
        <v>1.5</v>
      </c>
      <c r="K187" s="1">
        <f t="shared" si="20"/>
        <v>4.0540540540540543E-2</v>
      </c>
    </row>
    <row r="188" spans="5:11" x14ac:dyDescent="0.45">
      <c r="E188" t="s">
        <v>135</v>
      </c>
      <c r="F188">
        <v>1</v>
      </c>
      <c r="G188">
        <v>1</v>
      </c>
      <c r="H188">
        <v>3</v>
      </c>
      <c r="I188">
        <v>1</v>
      </c>
      <c r="J188">
        <f t="shared" si="19"/>
        <v>1</v>
      </c>
      <c r="K188" s="1">
        <f t="shared" si="20"/>
        <v>2.7027027027027029E-2</v>
      </c>
    </row>
    <row r="189" spans="5:11" x14ac:dyDescent="0.45">
      <c r="E189" t="s">
        <v>136</v>
      </c>
      <c r="F189">
        <v>1</v>
      </c>
      <c r="G189">
        <v>1</v>
      </c>
      <c r="H189">
        <v>3</v>
      </c>
      <c r="I189">
        <v>1</v>
      </c>
      <c r="J189">
        <f t="shared" si="19"/>
        <v>1</v>
      </c>
      <c r="K189" s="1">
        <f t="shared" si="20"/>
        <v>2.7027027027027029E-2</v>
      </c>
    </row>
    <row r="190" spans="5:11" x14ac:dyDescent="0.45">
      <c r="E190" t="s">
        <v>137</v>
      </c>
      <c r="F190">
        <v>1</v>
      </c>
      <c r="G190">
        <v>2</v>
      </c>
      <c r="H190">
        <v>2</v>
      </c>
      <c r="I190">
        <v>1</v>
      </c>
      <c r="J190">
        <f t="shared" si="19"/>
        <v>1.5</v>
      </c>
      <c r="K190" s="1">
        <f t="shared" si="20"/>
        <v>4.0540540540540543E-2</v>
      </c>
    </row>
    <row r="191" spans="5:11" x14ac:dyDescent="0.45">
      <c r="E191" t="s">
        <v>138</v>
      </c>
      <c r="F191">
        <v>1</v>
      </c>
      <c r="G191">
        <v>1</v>
      </c>
      <c r="H191">
        <v>3</v>
      </c>
      <c r="I191">
        <v>1</v>
      </c>
      <c r="J191">
        <f t="shared" si="19"/>
        <v>1</v>
      </c>
      <c r="K191" s="1">
        <f t="shared" si="20"/>
        <v>2.7027027027027029E-2</v>
      </c>
    </row>
    <row r="192" spans="5:11" x14ac:dyDescent="0.45">
      <c r="E192" t="s">
        <v>122</v>
      </c>
      <c r="F192">
        <v>1</v>
      </c>
      <c r="G192">
        <v>1</v>
      </c>
      <c r="H192">
        <v>3</v>
      </c>
      <c r="I192">
        <v>1</v>
      </c>
      <c r="J192">
        <f t="shared" si="19"/>
        <v>1</v>
      </c>
      <c r="K192" s="1">
        <f t="shared" si="20"/>
        <v>2.7027027027027029E-2</v>
      </c>
    </row>
    <row r="193" spans="5:11" x14ac:dyDescent="0.45">
      <c r="E193" t="s">
        <v>139</v>
      </c>
      <c r="F193">
        <v>1</v>
      </c>
      <c r="G193">
        <v>1</v>
      </c>
      <c r="H193">
        <v>3</v>
      </c>
      <c r="I193">
        <v>1</v>
      </c>
      <c r="J193">
        <f t="shared" si="19"/>
        <v>1</v>
      </c>
      <c r="K193" s="1">
        <f t="shared" si="20"/>
        <v>2.7027027027027029E-2</v>
      </c>
    </row>
    <row r="194" spans="5:11" x14ac:dyDescent="0.45">
      <c r="E194" t="s">
        <v>140</v>
      </c>
      <c r="F194">
        <v>1</v>
      </c>
      <c r="G194">
        <v>1</v>
      </c>
      <c r="H194">
        <v>3</v>
      </c>
      <c r="I194">
        <v>1</v>
      </c>
      <c r="J194">
        <f t="shared" si="19"/>
        <v>1</v>
      </c>
      <c r="K194" s="1">
        <f t="shared" si="20"/>
        <v>2.7027027027027029E-2</v>
      </c>
    </row>
    <row r="195" spans="5:11" x14ac:dyDescent="0.45">
      <c r="E195" t="s">
        <v>141</v>
      </c>
      <c r="F195">
        <v>1</v>
      </c>
      <c r="G195">
        <v>1</v>
      </c>
      <c r="H195">
        <v>3</v>
      </c>
      <c r="I195">
        <v>1</v>
      </c>
      <c r="J195">
        <f t="shared" si="19"/>
        <v>1</v>
      </c>
      <c r="K195" s="1">
        <f t="shared" si="20"/>
        <v>2.7027027027027029E-2</v>
      </c>
    </row>
    <row r="196" spans="5:11" x14ac:dyDescent="0.45">
      <c r="E196" t="s">
        <v>142</v>
      </c>
      <c r="F196">
        <v>1</v>
      </c>
      <c r="G196">
        <v>1</v>
      </c>
      <c r="H196">
        <v>4</v>
      </c>
      <c r="I196">
        <v>1</v>
      </c>
      <c r="J196">
        <f t="shared" si="19"/>
        <v>1</v>
      </c>
      <c r="K196" s="1">
        <f t="shared" si="20"/>
        <v>2.7027027027027029E-2</v>
      </c>
    </row>
    <row r="197" spans="5:11" x14ac:dyDescent="0.45">
      <c r="E197" t="s">
        <v>143</v>
      </c>
      <c r="F197">
        <v>1</v>
      </c>
      <c r="G197">
        <v>4</v>
      </c>
      <c r="H197">
        <v>2</v>
      </c>
      <c r="I197">
        <v>1</v>
      </c>
      <c r="J197">
        <f t="shared" si="19"/>
        <v>2.5</v>
      </c>
      <c r="K197" s="1">
        <f t="shared" si="20"/>
        <v>6.7567567567567571E-2</v>
      </c>
    </row>
    <row r="198" spans="5:11" x14ac:dyDescent="0.45">
      <c r="E198" t="s">
        <v>109</v>
      </c>
      <c r="F198">
        <v>1</v>
      </c>
      <c r="G198">
        <v>2</v>
      </c>
      <c r="H198">
        <v>3</v>
      </c>
      <c r="I198">
        <v>1</v>
      </c>
      <c r="J198">
        <f t="shared" si="19"/>
        <v>1.5</v>
      </c>
      <c r="K198" s="1">
        <f t="shared" si="20"/>
        <v>4.0540540540540543E-2</v>
      </c>
    </row>
    <row r="199" spans="5:11" x14ac:dyDescent="0.45">
      <c r="E199" t="s">
        <v>144</v>
      </c>
      <c r="F199">
        <v>1</v>
      </c>
      <c r="G199">
        <v>4</v>
      </c>
      <c r="H199">
        <v>2</v>
      </c>
      <c r="I199">
        <v>1</v>
      </c>
      <c r="J199">
        <f t="shared" si="19"/>
        <v>2.5</v>
      </c>
      <c r="K199" s="1">
        <f>J199/SUM(J$174:J$199)</f>
        <v>6.7567567567567571E-2</v>
      </c>
    </row>
    <row r="202" spans="5:11" x14ac:dyDescent="0.45">
      <c r="E202" t="s">
        <v>147</v>
      </c>
    </row>
    <row r="203" spans="5:11" x14ac:dyDescent="0.45">
      <c r="E203" t="s">
        <v>1</v>
      </c>
      <c r="F203" t="s">
        <v>4</v>
      </c>
      <c r="G203" t="s">
        <v>5</v>
      </c>
      <c r="H203" t="s">
        <v>2</v>
      </c>
      <c r="I203" t="s">
        <v>3</v>
      </c>
      <c r="J203" t="s">
        <v>49</v>
      </c>
      <c r="K203" s="1" t="s">
        <v>50</v>
      </c>
    </row>
    <row r="204" spans="5:11" x14ac:dyDescent="0.45">
      <c r="E204" t="s">
        <v>148</v>
      </c>
      <c r="F204">
        <v>1</v>
      </c>
      <c r="G204">
        <v>1</v>
      </c>
      <c r="H204">
        <v>3</v>
      </c>
      <c r="I204">
        <v>50</v>
      </c>
      <c r="J204">
        <f t="shared" ref="J204:J228" si="21">AVERAGE(F204,G204)*I204</f>
        <v>50</v>
      </c>
      <c r="K204" s="1">
        <f>J204/SUM(J$204:J$228)</f>
        <v>0.04</v>
      </c>
    </row>
    <row r="205" spans="5:11" x14ac:dyDescent="0.45">
      <c r="E205" t="s">
        <v>149</v>
      </c>
      <c r="F205">
        <v>1</v>
      </c>
      <c r="G205">
        <v>1</v>
      </c>
      <c r="H205">
        <v>3</v>
      </c>
      <c r="I205">
        <v>50</v>
      </c>
      <c r="J205">
        <f t="shared" si="21"/>
        <v>50</v>
      </c>
      <c r="K205" s="1">
        <f t="shared" ref="K205:K228" si="22">J205/SUM(J$204:J$228)</f>
        <v>0.04</v>
      </c>
    </row>
    <row r="206" spans="5:11" x14ac:dyDescent="0.45">
      <c r="E206" t="s">
        <v>150</v>
      </c>
      <c r="F206">
        <v>1</v>
      </c>
      <c r="G206">
        <v>1</v>
      </c>
      <c r="H206">
        <v>3</v>
      </c>
      <c r="I206">
        <v>50</v>
      </c>
      <c r="J206">
        <f t="shared" si="21"/>
        <v>50</v>
      </c>
      <c r="K206" s="1">
        <f t="shared" si="22"/>
        <v>0.04</v>
      </c>
    </row>
    <row r="207" spans="5:11" x14ac:dyDescent="0.45">
      <c r="E207" t="s">
        <v>151</v>
      </c>
      <c r="F207">
        <v>1</v>
      </c>
      <c r="G207">
        <v>1</v>
      </c>
      <c r="H207">
        <v>3</v>
      </c>
      <c r="I207">
        <v>50</v>
      </c>
      <c r="J207">
        <f t="shared" si="21"/>
        <v>50</v>
      </c>
      <c r="K207" s="1">
        <f t="shared" si="22"/>
        <v>0.04</v>
      </c>
    </row>
    <row r="208" spans="5:11" x14ac:dyDescent="0.45">
      <c r="E208" t="s">
        <v>152</v>
      </c>
      <c r="F208">
        <v>1</v>
      </c>
      <c r="G208">
        <v>1</v>
      </c>
      <c r="H208">
        <v>3</v>
      </c>
      <c r="I208">
        <v>50</v>
      </c>
      <c r="J208">
        <f t="shared" si="21"/>
        <v>50</v>
      </c>
      <c r="K208" s="1">
        <f t="shared" si="22"/>
        <v>0.04</v>
      </c>
    </row>
    <row r="209" spans="5:11" x14ac:dyDescent="0.45">
      <c r="E209" t="s">
        <v>153</v>
      </c>
      <c r="F209">
        <v>1</v>
      </c>
      <c r="G209">
        <v>1</v>
      </c>
      <c r="H209">
        <v>3</v>
      </c>
      <c r="I209">
        <v>50</v>
      </c>
      <c r="J209">
        <f t="shared" si="21"/>
        <v>50</v>
      </c>
      <c r="K209" s="1">
        <f t="shared" si="22"/>
        <v>0.04</v>
      </c>
    </row>
    <row r="210" spans="5:11" x14ac:dyDescent="0.45">
      <c r="E210" t="s">
        <v>154</v>
      </c>
      <c r="F210">
        <v>1</v>
      </c>
      <c r="G210">
        <v>1</v>
      </c>
      <c r="H210">
        <v>3</v>
      </c>
      <c r="I210">
        <v>50</v>
      </c>
      <c r="J210">
        <f t="shared" si="21"/>
        <v>50</v>
      </c>
      <c r="K210" s="1">
        <f t="shared" si="22"/>
        <v>0.04</v>
      </c>
    </row>
    <row r="211" spans="5:11" x14ac:dyDescent="0.45">
      <c r="E211" t="s">
        <v>155</v>
      </c>
      <c r="F211">
        <v>1</v>
      </c>
      <c r="G211">
        <v>1</v>
      </c>
      <c r="H211">
        <v>3</v>
      </c>
      <c r="I211">
        <v>50</v>
      </c>
      <c r="J211">
        <f t="shared" si="21"/>
        <v>50</v>
      </c>
      <c r="K211" s="1">
        <f t="shared" si="22"/>
        <v>0.04</v>
      </c>
    </row>
    <row r="212" spans="5:11" x14ac:dyDescent="0.45">
      <c r="E212" t="s">
        <v>156</v>
      </c>
      <c r="F212">
        <v>1</v>
      </c>
      <c r="G212">
        <v>1</v>
      </c>
      <c r="H212">
        <v>3</v>
      </c>
      <c r="I212">
        <v>50</v>
      </c>
      <c r="J212">
        <f t="shared" si="21"/>
        <v>50</v>
      </c>
      <c r="K212" s="1">
        <f t="shared" si="22"/>
        <v>0.04</v>
      </c>
    </row>
    <row r="213" spans="5:11" x14ac:dyDescent="0.45">
      <c r="E213" t="s">
        <v>157</v>
      </c>
      <c r="F213">
        <v>1</v>
      </c>
      <c r="G213">
        <v>1</v>
      </c>
      <c r="H213">
        <v>2</v>
      </c>
      <c r="I213">
        <v>50</v>
      </c>
      <c r="J213">
        <f t="shared" si="21"/>
        <v>50</v>
      </c>
      <c r="K213" s="1">
        <f t="shared" si="22"/>
        <v>0.04</v>
      </c>
    </row>
    <row r="214" spans="5:11" x14ac:dyDescent="0.45">
      <c r="E214" t="s">
        <v>158</v>
      </c>
      <c r="F214">
        <v>1</v>
      </c>
      <c r="G214">
        <v>1</v>
      </c>
      <c r="H214">
        <v>3</v>
      </c>
      <c r="I214">
        <v>50</v>
      </c>
      <c r="J214">
        <f t="shared" si="21"/>
        <v>50</v>
      </c>
      <c r="K214" s="1">
        <f t="shared" si="22"/>
        <v>0.04</v>
      </c>
    </row>
    <row r="215" spans="5:11" x14ac:dyDescent="0.45">
      <c r="E215" t="s">
        <v>159</v>
      </c>
      <c r="F215">
        <v>1</v>
      </c>
      <c r="G215">
        <v>1</v>
      </c>
      <c r="H215">
        <v>2</v>
      </c>
      <c r="I215">
        <v>50</v>
      </c>
      <c r="J215">
        <f t="shared" si="21"/>
        <v>50</v>
      </c>
      <c r="K215" s="1">
        <f t="shared" si="22"/>
        <v>0.04</v>
      </c>
    </row>
    <row r="216" spans="5:11" x14ac:dyDescent="0.45">
      <c r="E216" t="s">
        <v>160</v>
      </c>
      <c r="F216">
        <v>1</v>
      </c>
      <c r="G216">
        <v>1</v>
      </c>
      <c r="H216">
        <v>2</v>
      </c>
      <c r="I216">
        <v>50</v>
      </c>
      <c r="J216">
        <f t="shared" si="21"/>
        <v>50</v>
      </c>
      <c r="K216" s="1">
        <f t="shared" si="22"/>
        <v>0.04</v>
      </c>
    </row>
    <row r="217" spans="5:11" x14ac:dyDescent="0.45">
      <c r="E217" t="s">
        <v>161</v>
      </c>
      <c r="F217">
        <v>1</v>
      </c>
      <c r="G217">
        <v>1</v>
      </c>
      <c r="H217">
        <v>2</v>
      </c>
      <c r="I217">
        <v>50</v>
      </c>
      <c r="J217">
        <f t="shared" si="21"/>
        <v>50</v>
      </c>
      <c r="K217" s="1">
        <f t="shared" si="22"/>
        <v>0.04</v>
      </c>
    </row>
    <row r="218" spans="5:11" x14ac:dyDescent="0.45">
      <c r="E218" t="s">
        <v>162</v>
      </c>
      <c r="F218">
        <v>1</v>
      </c>
      <c r="G218">
        <v>1</v>
      </c>
      <c r="H218">
        <v>2</v>
      </c>
      <c r="I218">
        <v>50</v>
      </c>
      <c r="J218">
        <f t="shared" si="21"/>
        <v>50</v>
      </c>
      <c r="K218" s="1">
        <f t="shared" si="22"/>
        <v>0.04</v>
      </c>
    </row>
    <row r="219" spans="5:11" x14ac:dyDescent="0.45">
      <c r="E219" t="s">
        <v>163</v>
      </c>
      <c r="F219">
        <v>1</v>
      </c>
      <c r="G219">
        <v>1</v>
      </c>
      <c r="H219">
        <v>1</v>
      </c>
      <c r="I219">
        <v>50</v>
      </c>
      <c r="J219">
        <f t="shared" si="21"/>
        <v>50</v>
      </c>
      <c r="K219" s="1">
        <f t="shared" si="22"/>
        <v>0.04</v>
      </c>
    </row>
    <row r="220" spans="5:11" x14ac:dyDescent="0.45">
      <c r="E220" t="s">
        <v>164</v>
      </c>
      <c r="F220">
        <v>1</v>
      </c>
      <c r="G220">
        <v>1</v>
      </c>
      <c r="H220">
        <v>2</v>
      </c>
      <c r="I220">
        <v>50</v>
      </c>
      <c r="J220">
        <f t="shared" si="21"/>
        <v>50</v>
      </c>
      <c r="K220" s="1">
        <f t="shared" si="22"/>
        <v>0.04</v>
      </c>
    </row>
    <row r="221" spans="5:11" x14ac:dyDescent="0.45">
      <c r="E221" t="s">
        <v>165</v>
      </c>
      <c r="F221">
        <v>1</v>
      </c>
      <c r="G221">
        <v>1</v>
      </c>
      <c r="H221">
        <v>2</v>
      </c>
      <c r="I221">
        <v>50</v>
      </c>
      <c r="J221">
        <f t="shared" si="21"/>
        <v>50</v>
      </c>
      <c r="K221" s="1">
        <f t="shared" si="22"/>
        <v>0.04</v>
      </c>
    </row>
    <row r="222" spans="5:11" x14ac:dyDescent="0.45">
      <c r="E222" t="s">
        <v>166</v>
      </c>
      <c r="F222">
        <v>1</v>
      </c>
      <c r="G222">
        <v>1</v>
      </c>
      <c r="H222">
        <v>2</v>
      </c>
      <c r="I222">
        <v>50</v>
      </c>
      <c r="J222">
        <f t="shared" si="21"/>
        <v>50</v>
      </c>
      <c r="K222" s="1">
        <f t="shared" si="22"/>
        <v>0.04</v>
      </c>
    </row>
    <row r="223" spans="5:11" x14ac:dyDescent="0.45">
      <c r="E223" t="s">
        <v>167</v>
      </c>
      <c r="F223">
        <v>1</v>
      </c>
      <c r="G223">
        <v>1</v>
      </c>
      <c r="H223">
        <v>2</v>
      </c>
      <c r="I223">
        <v>50</v>
      </c>
      <c r="J223">
        <f t="shared" si="21"/>
        <v>50</v>
      </c>
      <c r="K223" s="1">
        <f t="shared" si="22"/>
        <v>0.04</v>
      </c>
    </row>
    <row r="224" spans="5:11" x14ac:dyDescent="0.45">
      <c r="E224" t="s">
        <v>168</v>
      </c>
      <c r="F224">
        <v>1</v>
      </c>
      <c r="G224">
        <v>1</v>
      </c>
      <c r="H224">
        <v>2</v>
      </c>
      <c r="I224">
        <v>50</v>
      </c>
      <c r="J224">
        <f t="shared" si="21"/>
        <v>50</v>
      </c>
      <c r="K224" s="1">
        <f t="shared" si="22"/>
        <v>0.04</v>
      </c>
    </row>
    <row r="225" spans="5:11" x14ac:dyDescent="0.45">
      <c r="E225" t="s">
        <v>169</v>
      </c>
      <c r="F225">
        <v>1</v>
      </c>
      <c r="G225">
        <v>1</v>
      </c>
      <c r="H225">
        <v>2</v>
      </c>
      <c r="I225">
        <v>50</v>
      </c>
      <c r="J225">
        <f t="shared" si="21"/>
        <v>50</v>
      </c>
      <c r="K225" s="1">
        <f t="shared" si="22"/>
        <v>0.04</v>
      </c>
    </row>
    <row r="226" spans="5:11" x14ac:dyDescent="0.45">
      <c r="E226" t="s">
        <v>170</v>
      </c>
      <c r="F226">
        <v>1</v>
      </c>
      <c r="G226">
        <v>1</v>
      </c>
      <c r="H226">
        <v>2</v>
      </c>
      <c r="I226">
        <v>50</v>
      </c>
      <c r="J226">
        <f t="shared" si="21"/>
        <v>50</v>
      </c>
      <c r="K226" s="1">
        <f t="shared" si="22"/>
        <v>0.04</v>
      </c>
    </row>
    <row r="227" spans="5:11" x14ac:dyDescent="0.45">
      <c r="E227" t="s">
        <v>171</v>
      </c>
      <c r="F227">
        <v>1</v>
      </c>
      <c r="G227">
        <v>1</v>
      </c>
      <c r="H227">
        <v>2</v>
      </c>
      <c r="I227">
        <v>50</v>
      </c>
      <c r="J227">
        <f t="shared" si="21"/>
        <v>50</v>
      </c>
      <c r="K227" s="1">
        <f t="shared" si="22"/>
        <v>0.04</v>
      </c>
    </row>
    <row r="228" spans="5:11" x14ac:dyDescent="0.45">
      <c r="E228" t="s">
        <v>172</v>
      </c>
      <c r="F228">
        <v>1</v>
      </c>
      <c r="G228">
        <v>1</v>
      </c>
      <c r="H228">
        <v>2</v>
      </c>
      <c r="I228">
        <v>50</v>
      </c>
      <c r="J228">
        <f t="shared" si="21"/>
        <v>50</v>
      </c>
      <c r="K228" s="1">
        <f t="shared" si="22"/>
        <v>0.04</v>
      </c>
    </row>
    <row r="231" spans="5:11" x14ac:dyDescent="0.45">
      <c r="E231" t="s">
        <v>173</v>
      </c>
    </row>
    <row r="232" spans="5:11" x14ac:dyDescent="0.45">
      <c r="E232" t="s">
        <v>1</v>
      </c>
      <c r="F232" t="s">
        <v>4</v>
      </c>
      <c r="G232" t="s">
        <v>5</v>
      </c>
      <c r="H232" t="s">
        <v>2</v>
      </c>
      <c r="I232" t="s">
        <v>3</v>
      </c>
      <c r="J232" t="s">
        <v>49</v>
      </c>
      <c r="K232" s="1" t="s">
        <v>50</v>
      </c>
    </row>
    <row r="233" spans="5:11" x14ac:dyDescent="0.45">
      <c r="E233" t="s">
        <v>174</v>
      </c>
      <c r="F233">
        <v>1</v>
      </c>
      <c r="G233">
        <v>3</v>
      </c>
      <c r="H233">
        <v>1</v>
      </c>
      <c r="I233">
        <v>2</v>
      </c>
      <c r="J233">
        <f t="shared" ref="J233:J240" si="23">AVERAGE(F233,G233)*I233</f>
        <v>4</v>
      </c>
      <c r="K233" s="1">
        <f>J233/SUM(J$233:J$240)</f>
        <v>0.21052631578947367</v>
      </c>
    </row>
    <row r="234" spans="5:11" x14ac:dyDescent="0.45">
      <c r="E234" t="s">
        <v>11</v>
      </c>
      <c r="F234">
        <v>1</v>
      </c>
      <c r="G234">
        <v>1</v>
      </c>
      <c r="H234">
        <v>1</v>
      </c>
      <c r="I234">
        <v>2</v>
      </c>
      <c r="J234">
        <f t="shared" si="23"/>
        <v>2</v>
      </c>
      <c r="K234" s="1">
        <f t="shared" ref="K234:K240" si="24">J234/SUM(J$233:J$240)</f>
        <v>0.10526315789473684</v>
      </c>
    </row>
    <row r="235" spans="5:11" x14ac:dyDescent="0.45">
      <c r="E235" t="s">
        <v>175</v>
      </c>
      <c r="F235">
        <v>1</v>
      </c>
      <c r="G235">
        <v>2</v>
      </c>
      <c r="H235">
        <v>1</v>
      </c>
      <c r="I235">
        <v>2</v>
      </c>
      <c r="J235">
        <f t="shared" si="23"/>
        <v>3</v>
      </c>
      <c r="K235" s="1">
        <f t="shared" si="24"/>
        <v>0.15789473684210525</v>
      </c>
    </row>
    <row r="236" spans="5:11" x14ac:dyDescent="0.45">
      <c r="E236" t="s">
        <v>14</v>
      </c>
      <c r="F236">
        <v>1</v>
      </c>
      <c r="G236">
        <v>1</v>
      </c>
      <c r="H236">
        <v>2</v>
      </c>
      <c r="I236">
        <v>2</v>
      </c>
      <c r="J236">
        <f t="shared" si="23"/>
        <v>2</v>
      </c>
      <c r="K236" s="1">
        <f t="shared" si="24"/>
        <v>0.10526315789473684</v>
      </c>
    </row>
    <row r="237" spans="5:11" x14ac:dyDescent="0.45">
      <c r="E237" t="s">
        <v>176</v>
      </c>
      <c r="F237">
        <v>1</v>
      </c>
      <c r="G237">
        <v>1</v>
      </c>
      <c r="H237">
        <v>1</v>
      </c>
      <c r="I237">
        <v>2</v>
      </c>
      <c r="J237">
        <f t="shared" si="23"/>
        <v>2</v>
      </c>
      <c r="K237" s="1">
        <f t="shared" si="24"/>
        <v>0.10526315789473684</v>
      </c>
    </row>
    <row r="238" spans="5:11" x14ac:dyDescent="0.45">
      <c r="E238" t="s">
        <v>177</v>
      </c>
      <c r="F238">
        <v>1</v>
      </c>
      <c r="G238">
        <v>1</v>
      </c>
      <c r="H238">
        <v>2</v>
      </c>
      <c r="I238">
        <v>2</v>
      </c>
      <c r="J238">
        <f t="shared" si="23"/>
        <v>2</v>
      </c>
      <c r="K238" s="1">
        <f t="shared" si="24"/>
        <v>0.10526315789473684</v>
      </c>
    </row>
    <row r="239" spans="5:11" x14ac:dyDescent="0.45">
      <c r="E239" t="s">
        <v>178</v>
      </c>
      <c r="F239">
        <v>1</v>
      </c>
      <c r="G239">
        <v>1</v>
      </c>
      <c r="H239">
        <v>2</v>
      </c>
      <c r="I239">
        <v>2</v>
      </c>
      <c r="J239">
        <f t="shared" si="23"/>
        <v>2</v>
      </c>
      <c r="K239" s="1">
        <f t="shared" si="24"/>
        <v>0.10526315789473684</v>
      </c>
    </row>
    <row r="240" spans="5:11" x14ac:dyDescent="0.45">
      <c r="E240" t="s">
        <v>171</v>
      </c>
      <c r="F240">
        <v>1</v>
      </c>
      <c r="G240">
        <v>1</v>
      </c>
      <c r="H240">
        <v>5</v>
      </c>
      <c r="I240">
        <v>2</v>
      </c>
      <c r="J240">
        <f t="shared" si="23"/>
        <v>2</v>
      </c>
      <c r="K240" s="1">
        <f t="shared" si="24"/>
        <v>0.10526315789473684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1A6BD-C547-494B-BCD7-84BDA892B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39F6D1-76FE-4615-9B1A-A4D8B31B7BEF}">
  <ds:schemaRefs>
    <ds:schemaRef ds:uri="http://schemas.microsoft.com/office/2006/metadata/properties"/>
    <ds:schemaRef ds:uri="08ceecc5-2daa-47f4-9f70-3b427bddc800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3bd2448e-bc80-4060-9b44-5204c1169a8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CB97F4F-BAB4-4063-B584-AFBBE637AD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2026-05-30T05:23:49Z</dcterms:created>
  <dcterms:modified xsi:type="dcterms:W3CDTF">2026-09-29T04:38:25Z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