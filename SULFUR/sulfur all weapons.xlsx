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"/>
    </mc:Choice>
  </mc:AlternateContent>
  <xr:revisionPtr revIDLastSave="0" documentId="8_{A2D49D4B-12B7-4E71-A82E-CD2AAE8F68E3}" xr6:coauthVersionLast="47" xr6:coauthVersionMax="47" xr10:uidLastSave="{00000000-0000-0000-0000-000000000000}"/>
  <bookViews>
    <workbookView xWindow="-120" yWindow="-120" windowWidth="29040" windowHeight="15840" xr2:uid="{6E315986-E3AE-41F8-A853-EA4D2ABA423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2" i="2"/>
  <c r="P20" i="2"/>
  <c r="P21" i="2"/>
  <c r="P23" i="2"/>
  <c r="P24" i="2"/>
  <c r="P26" i="2"/>
  <c r="P25" i="2"/>
  <c r="P27" i="2"/>
  <c r="P30" i="2"/>
  <c r="P31" i="2"/>
  <c r="P28" i="2"/>
  <c r="P29" i="2"/>
  <c r="P32" i="2"/>
  <c r="P33" i="2"/>
  <c r="P36" i="2"/>
  <c r="P35" i="2"/>
  <c r="P34" i="2"/>
  <c r="P38" i="2"/>
  <c r="P37" i="2"/>
  <c r="P39" i="2"/>
  <c r="P40" i="2"/>
  <c r="P41" i="2"/>
  <c r="P42" i="2"/>
  <c r="P43" i="2"/>
  <c r="P44" i="2"/>
  <c r="P46" i="2"/>
  <c r="P45" i="2"/>
  <c r="P48" i="2"/>
  <c r="P47" i="2"/>
  <c r="P50" i="2"/>
  <c r="P51" i="2"/>
  <c r="P49" i="2"/>
  <c r="P52" i="2"/>
  <c r="O4" i="2"/>
  <c r="O32" i="2"/>
  <c r="O40" i="2"/>
  <c r="O15" i="2"/>
  <c r="O19" i="2"/>
  <c r="O52" i="2"/>
  <c r="O50" i="2"/>
  <c r="O51" i="2"/>
  <c r="O49" i="2"/>
  <c r="O48" i="2"/>
  <c r="O47" i="2"/>
  <c r="O46" i="2"/>
  <c r="O45" i="2"/>
  <c r="O44" i="2"/>
  <c r="O43" i="2"/>
  <c r="O42" i="2"/>
  <c r="O41" i="2"/>
  <c r="O39" i="2"/>
  <c r="O38" i="2"/>
  <c r="O37" i="2"/>
  <c r="O36" i="2"/>
  <c r="O35" i="2"/>
  <c r="O34" i="2"/>
  <c r="O33" i="2"/>
  <c r="O30" i="2"/>
  <c r="O31" i="2"/>
  <c r="O28" i="2"/>
  <c r="O29" i="2"/>
  <c r="O27" i="2"/>
  <c r="O26" i="2"/>
  <c r="O25" i="2"/>
  <c r="O24" i="2"/>
  <c r="O23" i="2"/>
  <c r="O22" i="2"/>
  <c r="O20" i="2"/>
  <c r="O21" i="2"/>
  <c r="O18" i="2"/>
  <c r="O17" i="2"/>
  <c r="O16" i="2"/>
  <c r="O14" i="2"/>
  <c r="O13" i="2"/>
  <c r="O12" i="2"/>
  <c r="O2" i="2"/>
  <c r="O11" i="2"/>
  <c r="O10" i="2"/>
  <c r="O9" i="2"/>
  <c r="O8" i="2"/>
  <c r="O7" i="2"/>
  <c r="O6" i="2"/>
  <c r="O3" i="2"/>
  <c r="O5" i="2"/>
</calcChain>
</file>

<file path=xl/sharedStrings.xml><?xml version="1.0" encoding="utf-8"?>
<sst xmlns="http://schemas.openxmlformats.org/spreadsheetml/2006/main" count="557" uniqueCount="122">
  <si>
    <t>Name</t>
  </si>
  <si>
    <t>Grid Size</t>
  </si>
  <si>
    <t>Value</t>
  </si>
  <si>
    <t>Durability</t>
  </si>
  <si>
    <t>Ammo</t>
  </si>
  <si>
    <t>Damage</t>
  </si>
  <si>
    <t>RPM</t>
  </si>
  <si>
    <t>Magazine</t>
  </si>
  <si>
    <t>Mode</t>
  </si>
  <si>
    <t>Recoil</t>
  </si>
  <si>
    <t>Spread</t>
  </si>
  <si>
    <t>Weight</t>
  </si>
  <si>
    <t>P38 Dirk</t>
  </si>
  <si>
    <t>2×2</t>
  </si>
  <si>
    <t>9mm</t>
  </si>
  <si>
    <t>Semi</t>
  </si>
  <si>
    <t>Socom 9</t>
  </si>
  <si>
    <t>Star &amp; Witness</t>
  </si>
  <si>
    <t>Gravekeeper</t>
  </si>
  <si>
    <t>5.56mm</t>
  </si>
  <si>
    <t>Beck 8</t>
  </si>
  <si>
    <t>Salamander</t>
  </si>
  <si>
    <t>3×2</t>
  </si>
  <si>
    <t>7.62mm</t>
  </si>
  <si>
    <t>Bronco 89</t>
  </si>
  <si>
    <t>Manual</t>
  </si>
  <si>
    <t>Flicker</t>
  </si>
  <si>
    <t>1×1</t>
  </si>
  <si>
    <t>Unknown</t>
  </si>
  <si>
    <t>2×1</t>
  </si>
  <si>
    <t>E. Cell</t>
  </si>
  <si>
    <t>Hell 'N' Back</t>
  </si>
  <si>
    <t>Cavalier</t>
  </si>
  <si>
    <t>Burst (3)</t>
  </si>
  <si>
    <t>Terrier URB.</t>
  </si>
  <si>
    <t>100†</t>
  </si>
  <si>
    <t>Snut .38</t>
  </si>
  <si>
    <t>Single Action</t>
  </si>
  <si>
    <t>Palehorse Topclipper</t>
  </si>
  <si>
    <t>.357 Balthazar</t>
  </si>
  <si>
    <t>Double Action</t>
  </si>
  <si>
    <t>Wyatt PULSAR</t>
  </si>
  <si>
    <t>200*</t>
  </si>
  <si>
    <t>Semi/Charge</t>
  </si>
  <si>
    <t>Type</t>
  </si>
  <si>
    <t>Pistol</t>
  </si>
  <si>
    <t>Revolver</t>
  </si>
  <si>
    <t>Breacher 8</t>
  </si>
  <si>
    <t>5×2</t>
  </si>
  <si>
    <t>12Ga</t>
  </si>
  <si>
    <t>40×8×(1-8)</t>
  </si>
  <si>
    <t>*</t>
  </si>
  <si>
    <t>Special</t>
  </si>
  <si>
    <t>Mossman</t>
  </si>
  <si>
    <t>40×8</t>
  </si>
  <si>
    <t>Pump</t>
  </si>
  <si>
    <t>Arbiter 2</t>
  </si>
  <si>
    <t>40×8×3</t>
  </si>
  <si>
    <t>Break</t>
  </si>
  <si>
    <t>Augusta</t>
  </si>
  <si>
    <t>50×3×3</t>
  </si>
  <si>
    <t>1889 Mario</t>
  </si>
  <si>
    <t>Flock 76</t>
  </si>
  <si>
    <t>Auto</t>
  </si>
  <si>
    <t>Majordome</t>
  </si>
  <si>
    <t>Shotgun</t>
  </si>
  <si>
    <t>Drifter 9</t>
  </si>
  <si>
    <t>Vrede</t>
  </si>
  <si>
    <t>Ploika Compact</t>
  </si>
  <si>
    <t>Ferryman</t>
  </si>
  <si>
    <t>.50 BMG</t>
  </si>
  <si>
    <t>Automatic</t>
  </si>
  <si>
    <t>M3 Termite</t>
  </si>
  <si>
    <t>Deathstar PG</t>
  </si>
  <si>
    <t>Valet</t>
  </si>
  <si>
    <t>Songbird</t>
  </si>
  <si>
    <t>SMG</t>
  </si>
  <si>
    <t>Corpsemaker</t>
  </si>
  <si>
    <t>auto</t>
  </si>
  <si>
    <t>Catacoil Rapid X</t>
  </si>
  <si>
    <t>Type 80 Typhoon</t>
  </si>
  <si>
    <t>4×2</t>
  </si>
  <si>
    <t>M11A2 Fisk</t>
  </si>
  <si>
    <t>Wingman</t>
  </si>
  <si>
    <t>Socom ACR</t>
  </si>
  <si>
    <t>burst (2)</t>
  </si>
  <si>
    <t>Assault Rifle</t>
  </si>
  <si>
    <t>Rektor 100rd</t>
  </si>
  <si>
    <t>Duhar</t>
  </si>
  <si>
    <t>Neuraxis F22</t>
  </si>
  <si>
    <t>E.Cell</t>
  </si>
  <si>
    <t>400-2000†</t>
  </si>
  <si>
    <t>20-2†</t>
  </si>
  <si>
    <t>Warpig</t>
  </si>
  <si>
    <t>Chat-Pardeur 98</t>
  </si>
  <si>
    <t>LMG</t>
  </si>
  <si>
    <t>Knop .22</t>
  </si>
  <si>
    <t>Breech</t>
  </si>
  <si>
    <t>M182 Pierre-Fusil</t>
  </si>
  <si>
    <t>Semi-Auto</t>
  </si>
  <si>
    <t>Tailor Marksman MKII</t>
  </si>
  <si>
    <t>Farsight</t>
  </si>
  <si>
    <t>Rifle</t>
  </si>
  <si>
    <t>Rokua .308</t>
  </si>
  <si>
    <t>Bolt Action</t>
  </si>
  <si>
    <t>Dolphin 99</t>
  </si>
  <si>
    <t>6×2</t>
  </si>
  <si>
    <t>Manual Cocking</t>
  </si>
  <si>
    <t>D4RT</t>
  </si>
  <si>
    <t>Energy Cell</t>
  </si>
  <si>
    <t>Break Action</t>
  </si>
  <si>
    <t>Impala Gravita</t>
  </si>
  <si>
    <t>Manual "Bowstring Action"</t>
  </si>
  <si>
    <t>Longboy</t>
  </si>
  <si>
    <t>7×2</t>
  </si>
  <si>
    <t>Sniper Rifle</t>
  </si>
  <si>
    <t>100*</t>
  </si>
  <si>
    <t>* (60ish)</t>
  </si>
  <si>
    <t>Damage Mult</t>
  </si>
  <si>
    <t>DPS</t>
  </si>
  <si>
    <t>480*</t>
  </si>
  <si>
    <t>durability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</si>
</sst>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6CF43-28B2-4F25-8D6F-3A011243706E}" name="Table1" displayName="Table1" ref="A1:P52" totalsRowShown="0">
  <autoFilter ref="A1:P52" xr:uid="{3176CF43-28B2-4F25-8D6F-3A011243706E}"/>
  <sortState xmlns:xlrd2="http://schemas.microsoft.com/office/spreadsheetml/2017/richdata2" ref="A2:P52">
    <sortCondition descending="1" ref="O1:O52"/>
  </sortState>
  <tableColumns count="16">
    <tableColumn id="1" xr3:uid="{2C9D201E-4AC3-4E57-A979-D8F392172ECF}" name="Name"/>
    <tableColumn id="2" xr3:uid="{42F25AB0-58BB-4218-B0C4-9A6D9F26711B}" name="Grid Size"/>
    <tableColumn id="3" xr3:uid="{9E0D9BC2-A43D-4095-B699-5572FBA01F54}" name="Value"/>
    <tableColumn id="4" xr3:uid="{3E185B7A-7F29-42CA-B8F4-5E81764367E1}" name="Durability"/>
    <tableColumn id="5" xr3:uid="{D955E6B7-B6ED-42E0-A936-4BE0D8D39D20}" name="Ammo"/>
    <tableColumn id="6" xr3:uid="{8C7E1465-2C5C-4BEE-809D-BC1CE6B2BD5E}" name="Damage"/>
    <tableColumn id="7" xr3:uid="{18D658A2-F63C-4C03-ABC2-BEAC3234493E}" name="RPM"/>
    <tableColumn id="8" xr3:uid="{D29E1951-8C27-4CD0-AA9D-95F6058D64C3}" name="Magazine"/>
    <tableColumn id="9" xr3:uid="{8CD58389-6BE6-4DA8-9724-B8A4E550D6B7}" name="Mode"/>
    <tableColumn id="10" xr3:uid="{574C6EE1-A354-4DC1-ACCB-63420D92C0C1}" name="Recoil"/>
    <tableColumn id="11" xr3:uid="{3EDD8C8F-FA97-451E-B69A-9E71C86DC631}" name="Spread"/>
    <tableColumn id="12" xr3:uid="{D90FF3B3-C94A-4A29-A46A-390E2E71697F}" name="Weight"/>
    <tableColumn id="13" xr3:uid="{39D5BC4A-D6C4-4A9C-A98A-3CE698C02628}" name="Type"/>
    <tableColumn id="14" xr3:uid="{F2BF6382-603A-4745-92B1-34C5FEF7B612}" name="Damage Mult"/>
    <tableColumn id="15" xr3:uid="{59D83EF6-FDB4-4F05-A6F8-6242A101B034}" name="DPS" dataDxfId="1">
      <calculatedColumnFormula>Table1[[#This Row],[Damage Mult]]*Table1[[#This Row],[RPM]]</calculatedColumnFormula>
    </tableColumn>
    <tableColumn id="16" xr3:uid="{53DD1D16-C0B2-485A-AB58-DFEC17638122}" name="durability minutes" dataDxfId="0">
      <calculatedColumnFormula>Table1[[#This Row],[Durability]]/Table1[[#This Row],[RPM]]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70B9-1324-402D-A41C-F0B555973A31}">
  <dimension ref="A1:P52"/>
  <sheetViews>
    <sheetView tabSelected="1" zoomScale="70" zoomScaleNormal="70" workbookViewId="0">
      <selection activeCell="O10" sqref="O10"/>
    </sheetView>
  </sheetViews>
  <sheetFormatPr defaultRowHeight="15" x14ac:dyDescent="0.25"/>
  <cols>
    <col min="1" max="1" width="20.5703125" bestFit="1" customWidth="1"/>
    <col min="2" max="2" width="11.140625" customWidth="1"/>
    <col min="4" max="4" width="12" customWidth="1"/>
    <col min="6" max="6" width="10.42578125" customWidth="1"/>
    <col min="8" max="8" width="11.42578125" customWidth="1"/>
    <col min="11" max="11" width="9.42578125" customWidth="1"/>
    <col min="12" max="12" width="9.5703125" customWidth="1"/>
    <col min="13" max="13" width="11.85546875" bestFit="1" customWidth="1"/>
    <col min="14" max="14" width="14.85546875" customWidth="1"/>
    <col min="16" max="16" width="20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44</v>
      </c>
      <c r="N1" t="s">
        <v>118</v>
      </c>
      <c r="O1" t="s">
        <v>119</v>
      </c>
      <c r="P1" t="s">
        <v>121</v>
      </c>
    </row>
    <row r="2" spans="1:16" x14ac:dyDescent="0.25">
      <c r="A2" t="s">
        <v>103</v>
      </c>
      <c r="B2" t="s">
        <v>48</v>
      </c>
      <c r="C2">
        <v>3500</v>
      </c>
      <c r="D2">
        <v>3500</v>
      </c>
      <c r="E2" t="s">
        <v>23</v>
      </c>
      <c r="F2">
        <v>200</v>
      </c>
      <c r="G2" t="s">
        <v>120</v>
      </c>
      <c r="H2">
        <v>5</v>
      </c>
      <c r="I2" t="s">
        <v>104</v>
      </c>
      <c r="J2">
        <v>5</v>
      </c>
      <c r="K2">
        <v>1</v>
      </c>
      <c r="L2">
        <v>25</v>
      </c>
      <c r="M2" t="s">
        <v>115</v>
      </c>
      <c r="N2">
        <v>40</v>
      </c>
      <c r="O2" t="e">
        <f>Table1[[#This Row],[Damage Mult]]*Table1[[#This Row],[RPM]]</f>
        <v>#VALUE!</v>
      </c>
      <c r="P2" t="e">
        <f>Table1[[#This Row],[Durability]]/Table1[[#This Row],[RPM]]</f>
        <v>#VALUE!</v>
      </c>
    </row>
    <row r="3" spans="1:16" x14ac:dyDescent="0.25">
      <c r="A3" t="s">
        <v>41</v>
      </c>
      <c r="B3" t="s">
        <v>22</v>
      </c>
      <c r="C3">
        <v>2500</v>
      </c>
      <c r="D3">
        <v>3600</v>
      </c>
      <c r="E3" t="s">
        <v>30</v>
      </c>
      <c r="F3">
        <v>80</v>
      </c>
      <c r="G3" t="s">
        <v>42</v>
      </c>
      <c r="H3">
        <v>18</v>
      </c>
      <c r="I3" t="s">
        <v>43</v>
      </c>
      <c r="J3">
        <v>0</v>
      </c>
      <c r="K3">
        <v>1.5</v>
      </c>
      <c r="L3">
        <v>5</v>
      </c>
      <c r="M3" t="s">
        <v>46</v>
      </c>
      <c r="O3" t="e">
        <f>Table1[[#This Row],[Damage Mult]]*Table1[[#This Row],[RPM]]</f>
        <v>#VALUE!</v>
      </c>
      <c r="P3" t="e">
        <f>Table1[[#This Row],[Durability]]/Table1[[#This Row],[RPM]]</f>
        <v>#VALUE!</v>
      </c>
    </row>
    <row r="4" spans="1:16" x14ac:dyDescent="0.25">
      <c r="A4" t="s">
        <v>47</v>
      </c>
      <c r="B4" t="s">
        <v>48</v>
      </c>
      <c r="C4">
        <v>950</v>
      </c>
      <c r="D4">
        <v>1200</v>
      </c>
      <c r="E4" t="s">
        <v>49</v>
      </c>
      <c r="F4">
        <v>320</v>
      </c>
      <c r="G4" t="s">
        <v>117</v>
      </c>
      <c r="H4">
        <v>8</v>
      </c>
      <c r="I4" t="s">
        <v>52</v>
      </c>
      <c r="J4">
        <v>20</v>
      </c>
      <c r="K4">
        <v>10</v>
      </c>
      <c r="L4">
        <v>35</v>
      </c>
      <c r="M4" t="s">
        <v>65</v>
      </c>
      <c r="N4">
        <v>40</v>
      </c>
      <c r="O4" t="e">
        <f>Table1[[#This Row],[Damage Mult]]*Table1[[#This Row],[RPM]]</f>
        <v>#VALUE!</v>
      </c>
      <c r="P4" t="e">
        <f>Table1[[#This Row],[Durability]]/Table1[[#This Row],[RPM]]</f>
        <v>#VALUE!</v>
      </c>
    </row>
    <row r="5" spans="1:16" x14ac:dyDescent="0.25">
      <c r="A5" t="s">
        <v>89</v>
      </c>
      <c r="B5" t="s">
        <v>48</v>
      </c>
      <c r="C5">
        <v>2500</v>
      </c>
      <c r="D5">
        <v>4200</v>
      </c>
      <c r="E5" t="s">
        <v>90</v>
      </c>
      <c r="F5">
        <v>50</v>
      </c>
      <c r="G5" t="s">
        <v>91</v>
      </c>
      <c r="H5">
        <v>100</v>
      </c>
      <c r="I5" t="s">
        <v>63</v>
      </c>
      <c r="J5">
        <v>0</v>
      </c>
      <c r="K5" t="s">
        <v>92</v>
      </c>
      <c r="L5">
        <v>25</v>
      </c>
      <c r="M5" t="s">
        <v>95</v>
      </c>
      <c r="O5" t="e">
        <f>Table1[[#This Row],[Damage Mult]]*Table1[[#This Row],[RPM]]</f>
        <v>#VALUE!</v>
      </c>
      <c r="P5" t="e">
        <f>Table1[[#This Row],[Durability]]/Table1[[#This Row],[RPM]]</f>
        <v>#VALUE!</v>
      </c>
    </row>
    <row r="6" spans="1:16" x14ac:dyDescent="0.25">
      <c r="A6" t="s">
        <v>68</v>
      </c>
      <c r="B6" t="s">
        <v>13</v>
      </c>
      <c r="C6">
        <v>455</v>
      </c>
      <c r="D6">
        <v>3900</v>
      </c>
      <c r="E6" t="s">
        <v>14</v>
      </c>
      <c r="F6">
        <v>60</v>
      </c>
      <c r="G6">
        <v>1500</v>
      </c>
      <c r="H6">
        <v>40</v>
      </c>
      <c r="I6" t="s">
        <v>63</v>
      </c>
      <c r="J6">
        <v>3</v>
      </c>
      <c r="K6">
        <v>5</v>
      </c>
      <c r="L6">
        <v>8</v>
      </c>
      <c r="M6" t="s">
        <v>76</v>
      </c>
      <c r="N6">
        <v>20</v>
      </c>
      <c r="O6">
        <f>Table1[[#This Row],[Damage Mult]]*Table1[[#This Row],[RPM]]</f>
        <v>30000</v>
      </c>
      <c r="P6">
        <f>Table1[[#This Row],[Durability]]/Table1[[#This Row],[RPM]]</f>
        <v>2.6</v>
      </c>
    </row>
    <row r="7" spans="1:16" x14ac:dyDescent="0.25">
      <c r="A7" t="s">
        <v>88</v>
      </c>
      <c r="B7" t="s">
        <v>48</v>
      </c>
      <c r="C7">
        <v>4000</v>
      </c>
      <c r="D7">
        <v>2500</v>
      </c>
      <c r="E7" t="s">
        <v>23</v>
      </c>
      <c r="F7">
        <v>100</v>
      </c>
      <c r="G7">
        <v>1400</v>
      </c>
      <c r="H7">
        <v>40</v>
      </c>
      <c r="I7" t="s">
        <v>63</v>
      </c>
      <c r="J7">
        <v>2</v>
      </c>
      <c r="K7">
        <v>4</v>
      </c>
      <c r="L7">
        <v>16</v>
      </c>
      <c r="M7" t="s">
        <v>95</v>
      </c>
      <c r="N7">
        <v>20</v>
      </c>
      <c r="O7">
        <f>Table1[[#This Row],[Damage Mult]]*Table1[[#This Row],[RPM]]</f>
        <v>28000</v>
      </c>
      <c r="P7">
        <f>Table1[[#This Row],[Durability]]/Table1[[#This Row],[RPM]]</f>
        <v>1.7857142857142858</v>
      </c>
    </row>
    <row r="8" spans="1:16" x14ac:dyDescent="0.25">
      <c r="A8" t="s">
        <v>84</v>
      </c>
      <c r="B8" t="s">
        <v>81</v>
      </c>
      <c r="C8">
        <v>3000</v>
      </c>
      <c r="D8">
        <v>4700</v>
      </c>
      <c r="E8" t="s">
        <v>14</v>
      </c>
      <c r="F8">
        <v>72</v>
      </c>
      <c r="G8">
        <v>900</v>
      </c>
      <c r="H8">
        <v>42</v>
      </c>
      <c r="I8" t="s">
        <v>85</v>
      </c>
      <c r="J8">
        <v>1.5</v>
      </c>
      <c r="K8">
        <v>2</v>
      </c>
      <c r="L8">
        <v>16</v>
      </c>
      <c r="M8" t="s">
        <v>86</v>
      </c>
      <c r="N8">
        <v>24</v>
      </c>
      <c r="O8">
        <f>Table1[[#This Row],[Damage Mult]]*Table1[[#This Row],[RPM]]</f>
        <v>21600</v>
      </c>
      <c r="P8">
        <f>Table1[[#This Row],[Durability]]/Table1[[#This Row],[RPM]]</f>
        <v>5.2222222222222223</v>
      </c>
    </row>
    <row r="9" spans="1:16" x14ac:dyDescent="0.25">
      <c r="A9" t="s">
        <v>34</v>
      </c>
      <c r="B9" t="s">
        <v>13</v>
      </c>
      <c r="C9">
        <v>1500</v>
      </c>
      <c r="D9">
        <v>3700</v>
      </c>
      <c r="E9" t="s">
        <v>19</v>
      </c>
      <c r="F9">
        <v>104</v>
      </c>
      <c r="G9">
        <v>800</v>
      </c>
      <c r="H9">
        <v>14</v>
      </c>
      <c r="I9" t="s">
        <v>15</v>
      </c>
      <c r="J9">
        <v>5</v>
      </c>
      <c r="K9">
        <v>2.5</v>
      </c>
      <c r="L9">
        <v>5</v>
      </c>
      <c r="M9" t="s">
        <v>45</v>
      </c>
      <c r="N9">
        <v>26</v>
      </c>
      <c r="O9">
        <f>Table1[[#This Row],[Damage Mult]]*Table1[[#This Row],[RPM]]</f>
        <v>20800</v>
      </c>
      <c r="P9">
        <f>Table1[[#This Row],[Durability]]/Table1[[#This Row],[RPM]]</f>
        <v>4.625</v>
      </c>
    </row>
    <row r="10" spans="1:16" x14ac:dyDescent="0.25">
      <c r="A10" t="s">
        <v>61</v>
      </c>
      <c r="B10" t="s">
        <v>48</v>
      </c>
      <c r="C10">
        <v>600</v>
      </c>
      <c r="D10">
        <v>2500</v>
      </c>
      <c r="E10" t="s">
        <v>49</v>
      </c>
      <c r="F10">
        <v>320</v>
      </c>
      <c r="G10">
        <v>500</v>
      </c>
      <c r="H10">
        <v>2</v>
      </c>
      <c r="I10" t="s">
        <v>58</v>
      </c>
      <c r="J10">
        <v>10</v>
      </c>
      <c r="K10">
        <v>4</v>
      </c>
      <c r="L10">
        <v>16</v>
      </c>
      <c r="M10" t="s">
        <v>65</v>
      </c>
      <c r="N10">
        <v>40</v>
      </c>
      <c r="O10">
        <f>Table1[[#This Row],[Damage Mult]]*Table1[[#This Row],[RPM]]</f>
        <v>20000</v>
      </c>
      <c r="P10">
        <f>Table1[[#This Row],[Durability]]/Table1[[#This Row],[RPM]]</f>
        <v>5</v>
      </c>
    </row>
    <row r="11" spans="1:16" x14ac:dyDescent="0.25">
      <c r="A11" t="s">
        <v>101</v>
      </c>
      <c r="B11" t="s">
        <v>13</v>
      </c>
      <c r="C11">
        <v>2750</v>
      </c>
      <c r="D11">
        <v>2000</v>
      </c>
      <c r="E11" t="s">
        <v>19</v>
      </c>
      <c r="F11">
        <v>176</v>
      </c>
      <c r="G11">
        <v>450</v>
      </c>
      <c r="H11">
        <v>8</v>
      </c>
      <c r="I11" t="s">
        <v>99</v>
      </c>
      <c r="J11">
        <v>2.5</v>
      </c>
      <c r="K11">
        <v>2</v>
      </c>
      <c r="L11">
        <v>16</v>
      </c>
      <c r="M11" t="s">
        <v>102</v>
      </c>
      <c r="N11">
        <v>44</v>
      </c>
      <c r="O11">
        <f>Table1[[#This Row],[Damage Mult]]*Table1[[#This Row],[RPM]]</f>
        <v>19800</v>
      </c>
      <c r="P11">
        <f>Table1[[#This Row],[Durability]]/Table1[[#This Row],[RPM]]</f>
        <v>4.4444444444444446</v>
      </c>
    </row>
    <row r="12" spans="1:16" x14ac:dyDescent="0.25">
      <c r="A12" t="s">
        <v>96</v>
      </c>
      <c r="B12" t="s">
        <v>81</v>
      </c>
      <c r="C12">
        <v>750</v>
      </c>
      <c r="D12">
        <v>3000</v>
      </c>
      <c r="E12" t="s">
        <v>14</v>
      </c>
      <c r="F12">
        <v>120</v>
      </c>
      <c r="G12">
        <v>480</v>
      </c>
      <c r="H12">
        <v>1</v>
      </c>
      <c r="I12" t="s">
        <v>97</v>
      </c>
      <c r="J12">
        <v>3</v>
      </c>
      <c r="K12">
        <v>2</v>
      </c>
      <c r="L12">
        <v>5</v>
      </c>
      <c r="M12" t="s">
        <v>102</v>
      </c>
      <c r="N12">
        <v>40</v>
      </c>
      <c r="O12">
        <f>Table1[[#This Row],[Damage Mult]]*Table1[[#This Row],[RPM]]</f>
        <v>19200</v>
      </c>
      <c r="P12">
        <f>Table1[[#This Row],[Durability]]/Table1[[#This Row],[RPM]]</f>
        <v>6.25</v>
      </c>
    </row>
    <row r="13" spans="1:16" x14ac:dyDescent="0.25">
      <c r="A13" t="s">
        <v>75</v>
      </c>
      <c r="B13" t="s">
        <v>13</v>
      </c>
      <c r="C13">
        <v>3250</v>
      </c>
      <c r="D13">
        <v>4700</v>
      </c>
      <c r="E13" t="s">
        <v>14</v>
      </c>
      <c r="F13">
        <v>60</v>
      </c>
      <c r="G13">
        <v>950</v>
      </c>
      <c r="H13">
        <v>40</v>
      </c>
      <c r="I13" t="s">
        <v>63</v>
      </c>
      <c r="J13">
        <v>2.5</v>
      </c>
      <c r="K13">
        <v>3.5</v>
      </c>
      <c r="L13">
        <v>8</v>
      </c>
      <c r="M13" t="s">
        <v>76</v>
      </c>
      <c r="N13">
        <v>20</v>
      </c>
      <c r="O13">
        <f>Table1[[#This Row],[Damage Mult]]*Table1[[#This Row],[RPM]]</f>
        <v>19000</v>
      </c>
      <c r="P13">
        <f>Table1[[#This Row],[Durability]]/Table1[[#This Row],[RPM]]</f>
        <v>4.9473684210526319</v>
      </c>
    </row>
    <row r="14" spans="1:16" x14ac:dyDescent="0.25">
      <c r="A14" t="s">
        <v>62</v>
      </c>
      <c r="B14" t="s">
        <v>22</v>
      </c>
      <c r="C14">
        <v>1750</v>
      </c>
      <c r="D14">
        <v>2100</v>
      </c>
      <c r="E14" t="s">
        <v>49</v>
      </c>
      <c r="F14">
        <v>320</v>
      </c>
      <c r="G14">
        <v>470</v>
      </c>
      <c r="H14">
        <v>10</v>
      </c>
      <c r="I14" t="s">
        <v>63</v>
      </c>
      <c r="J14">
        <v>17</v>
      </c>
      <c r="K14">
        <v>7</v>
      </c>
      <c r="L14">
        <v>8</v>
      </c>
      <c r="M14" t="s">
        <v>65</v>
      </c>
      <c r="N14">
        <v>40</v>
      </c>
      <c r="O14">
        <f>Table1[[#This Row],[Damage Mult]]*Table1[[#This Row],[RPM]]</f>
        <v>18800</v>
      </c>
      <c r="P14">
        <f>Table1[[#This Row],[Durability]]/Table1[[#This Row],[RPM]]</f>
        <v>4.4680851063829783</v>
      </c>
    </row>
    <row r="15" spans="1:16" x14ac:dyDescent="0.25">
      <c r="A15" t="s">
        <v>79</v>
      </c>
      <c r="B15" t="s">
        <v>22</v>
      </c>
      <c r="C15">
        <v>4000</v>
      </c>
      <c r="D15">
        <v>3300</v>
      </c>
      <c r="E15" t="s">
        <v>30</v>
      </c>
      <c r="F15">
        <v>60</v>
      </c>
      <c r="G15">
        <v>893</v>
      </c>
      <c r="H15">
        <v>30</v>
      </c>
      <c r="I15" t="s">
        <v>78</v>
      </c>
      <c r="J15">
        <v>0</v>
      </c>
      <c r="K15">
        <v>2.5</v>
      </c>
      <c r="L15">
        <v>8</v>
      </c>
      <c r="M15" t="s">
        <v>86</v>
      </c>
      <c r="N15">
        <v>20</v>
      </c>
      <c r="O15">
        <f>Table1[[#This Row],[Damage Mult]]*Table1[[#This Row],[RPM]]</f>
        <v>17860</v>
      </c>
      <c r="P15">
        <f>Table1[[#This Row],[Durability]]/Table1[[#This Row],[RPM]]</f>
        <v>3.6954087346024638</v>
      </c>
    </row>
    <row r="16" spans="1:16" x14ac:dyDescent="0.25">
      <c r="A16" t="s">
        <v>82</v>
      </c>
      <c r="B16" t="s">
        <v>81</v>
      </c>
      <c r="C16">
        <v>3850</v>
      </c>
      <c r="D16">
        <v>3000</v>
      </c>
      <c r="E16" t="s">
        <v>19</v>
      </c>
      <c r="F16">
        <v>96</v>
      </c>
      <c r="G16">
        <v>740</v>
      </c>
      <c r="H16">
        <v>30</v>
      </c>
      <c r="I16" t="s">
        <v>78</v>
      </c>
      <c r="J16">
        <v>2</v>
      </c>
      <c r="K16">
        <v>2</v>
      </c>
      <c r="L16">
        <v>16</v>
      </c>
      <c r="M16" t="s">
        <v>86</v>
      </c>
      <c r="N16">
        <v>24</v>
      </c>
      <c r="O16">
        <f>Table1[[#This Row],[Damage Mult]]*Table1[[#This Row],[RPM]]</f>
        <v>17760</v>
      </c>
      <c r="P16">
        <f>Table1[[#This Row],[Durability]]/Table1[[#This Row],[RPM]]</f>
        <v>4.0540540540540544</v>
      </c>
    </row>
    <row r="17" spans="1:16" x14ac:dyDescent="0.25">
      <c r="A17" t="s">
        <v>72</v>
      </c>
      <c r="B17" t="s">
        <v>22</v>
      </c>
      <c r="C17">
        <v>700</v>
      </c>
      <c r="D17">
        <v>3000</v>
      </c>
      <c r="E17" t="s">
        <v>14</v>
      </c>
      <c r="F17">
        <v>66</v>
      </c>
      <c r="G17">
        <v>800</v>
      </c>
      <c r="H17">
        <v>30</v>
      </c>
      <c r="I17" t="s">
        <v>33</v>
      </c>
      <c r="J17">
        <v>1</v>
      </c>
      <c r="K17">
        <v>2.5</v>
      </c>
      <c r="L17">
        <v>8</v>
      </c>
      <c r="M17" t="s">
        <v>76</v>
      </c>
      <c r="N17">
        <v>22</v>
      </c>
      <c r="O17">
        <f>Table1[[#This Row],[Damage Mult]]*Table1[[#This Row],[RPM]]</f>
        <v>17600</v>
      </c>
      <c r="P17">
        <f>Table1[[#This Row],[Durability]]/Table1[[#This Row],[RPM]]</f>
        <v>3.75</v>
      </c>
    </row>
    <row r="18" spans="1:16" x14ac:dyDescent="0.25">
      <c r="A18" t="s">
        <v>69</v>
      </c>
      <c r="B18" t="s">
        <v>22</v>
      </c>
      <c r="C18">
        <v>4500</v>
      </c>
      <c r="D18">
        <v>2000</v>
      </c>
      <c r="E18" t="s">
        <v>70</v>
      </c>
      <c r="F18">
        <v>300</v>
      </c>
      <c r="G18">
        <v>580</v>
      </c>
      <c r="H18">
        <v>20</v>
      </c>
      <c r="I18" t="s">
        <v>71</v>
      </c>
      <c r="J18">
        <v>12</v>
      </c>
      <c r="K18">
        <v>2</v>
      </c>
      <c r="L18">
        <v>16</v>
      </c>
      <c r="M18" t="s">
        <v>76</v>
      </c>
      <c r="N18">
        <v>30</v>
      </c>
      <c r="O18">
        <f>Table1[[#This Row],[Damage Mult]]*Table1[[#This Row],[RPM]]</f>
        <v>17400</v>
      </c>
      <c r="P18">
        <f>Table1[[#This Row],[Durability]]/Table1[[#This Row],[RPM]]</f>
        <v>3.4482758620689653</v>
      </c>
    </row>
    <row r="19" spans="1:16" x14ac:dyDescent="0.25">
      <c r="A19" t="s">
        <v>108</v>
      </c>
      <c r="B19" t="s">
        <v>106</v>
      </c>
      <c r="C19">
        <v>1600</v>
      </c>
      <c r="D19">
        <v>4000</v>
      </c>
      <c r="E19" t="s">
        <v>109</v>
      </c>
      <c r="F19">
        <v>500</v>
      </c>
      <c r="G19">
        <v>100</v>
      </c>
      <c r="H19">
        <v>1</v>
      </c>
      <c r="I19" t="s">
        <v>110</v>
      </c>
      <c r="J19">
        <v>0</v>
      </c>
      <c r="K19">
        <v>1.5</v>
      </c>
      <c r="L19">
        <v>16</v>
      </c>
      <c r="M19" t="s">
        <v>115</v>
      </c>
      <c r="N19">
        <v>167</v>
      </c>
      <c r="O19">
        <f>Table1[[#This Row],[Damage Mult]]*Table1[[#This Row],[RPM]]</f>
        <v>16700</v>
      </c>
      <c r="P19">
        <f>Table1[[#This Row],[Durability]]/Table1[[#This Row],[RPM]]</f>
        <v>40</v>
      </c>
    </row>
    <row r="20" spans="1:16" x14ac:dyDescent="0.25">
      <c r="A20" t="s">
        <v>67</v>
      </c>
      <c r="B20" t="s">
        <v>22</v>
      </c>
      <c r="C20">
        <v>1500</v>
      </c>
      <c r="D20">
        <v>3900</v>
      </c>
      <c r="E20" t="s">
        <v>14</v>
      </c>
      <c r="F20">
        <v>60</v>
      </c>
      <c r="G20">
        <v>800</v>
      </c>
      <c r="H20">
        <v>30</v>
      </c>
      <c r="I20" t="s">
        <v>63</v>
      </c>
      <c r="J20">
        <v>2</v>
      </c>
      <c r="K20">
        <v>2.5</v>
      </c>
      <c r="L20">
        <v>8</v>
      </c>
      <c r="M20" t="s">
        <v>76</v>
      </c>
      <c r="N20">
        <v>20</v>
      </c>
      <c r="O20">
        <f>Table1[[#This Row],[Damage Mult]]*Table1[[#This Row],[RPM]]</f>
        <v>16000</v>
      </c>
      <c r="P20">
        <f>Table1[[#This Row],[Durability]]/Table1[[#This Row],[RPM]]</f>
        <v>4.875</v>
      </c>
    </row>
    <row r="21" spans="1:16" x14ac:dyDescent="0.25">
      <c r="A21" t="s">
        <v>87</v>
      </c>
      <c r="B21" t="s">
        <v>48</v>
      </c>
      <c r="C21">
        <v>4000</v>
      </c>
      <c r="D21">
        <v>3400</v>
      </c>
      <c r="E21" t="s">
        <v>23</v>
      </c>
      <c r="F21">
        <v>100</v>
      </c>
      <c r="G21">
        <v>800</v>
      </c>
      <c r="H21">
        <v>100</v>
      </c>
      <c r="I21" t="s">
        <v>63</v>
      </c>
      <c r="J21">
        <v>2</v>
      </c>
      <c r="K21">
        <v>4</v>
      </c>
      <c r="L21">
        <v>35</v>
      </c>
      <c r="M21" t="s">
        <v>95</v>
      </c>
      <c r="N21">
        <v>20</v>
      </c>
      <c r="O21">
        <f>Table1[[#This Row],[Damage Mult]]*Table1[[#This Row],[RPM]]</f>
        <v>16000</v>
      </c>
      <c r="P21">
        <f>Table1[[#This Row],[Durability]]/Table1[[#This Row],[RPM]]</f>
        <v>4.25</v>
      </c>
    </row>
    <row r="22" spans="1:16" x14ac:dyDescent="0.25">
      <c r="A22" t="s">
        <v>20</v>
      </c>
      <c r="B22" t="s">
        <v>13</v>
      </c>
      <c r="C22">
        <v>900</v>
      </c>
      <c r="D22">
        <v>2250</v>
      </c>
      <c r="E22" t="s">
        <v>14</v>
      </c>
      <c r="F22">
        <v>60</v>
      </c>
      <c r="G22">
        <v>800</v>
      </c>
      <c r="H22">
        <v>26</v>
      </c>
      <c r="I22" t="s">
        <v>15</v>
      </c>
      <c r="J22">
        <v>3</v>
      </c>
      <c r="K22">
        <v>3</v>
      </c>
      <c r="L22">
        <v>8</v>
      </c>
      <c r="M22" t="s">
        <v>45</v>
      </c>
      <c r="N22">
        <v>20</v>
      </c>
      <c r="O22">
        <f>Table1[[#This Row],[Damage Mult]]*Table1[[#This Row],[RPM]]</f>
        <v>16000</v>
      </c>
      <c r="P22">
        <f>Table1[[#This Row],[Durability]]/Table1[[#This Row],[RPM]]</f>
        <v>2.8125</v>
      </c>
    </row>
    <row r="23" spans="1:16" x14ac:dyDescent="0.25">
      <c r="A23" t="s">
        <v>77</v>
      </c>
      <c r="B23" t="s">
        <v>22</v>
      </c>
      <c r="C23">
        <v>2000</v>
      </c>
      <c r="D23">
        <v>3200</v>
      </c>
      <c r="E23" t="s">
        <v>19</v>
      </c>
      <c r="F23">
        <v>96</v>
      </c>
      <c r="G23">
        <v>666</v>
      </c>
      <c r="H23">
        <v>30</v>
      </c>
      <c r="I23" t="s">
        <v>78</v>
      </c>
      <c r="J23">
        <v>3</v>
      </c>
      <c r="K23">
        <v>2.5</v>
      </c>
      <c r="L23">
        <v>16</v>
      </c>
      <c r="M23" t="s">
        <v>86</v>
      </c>
      <c r="N23">
        <v>24</v>
      </c>
      <c r="O23">
        <f>Table1[[#This Row],[Damage Mult]]*Table1[[#This Row],[RPM]]</f>
        <v>15984</v>
      </c>
      <c r="P23">
        <f>Table1[[#This Row],[Durability]]/Table1[[#This Row],[RPM]]</f>
        <v>4.8048048048048049</v>
      </c>
    </row>
    <row r="24" spans="1:16" x14ac:dyDescent="0.25">
      <c r="A24" t="s">
        <v>74</v>
      </c>
      <c r="B24" t="s">
        <v>13</v>
      </c>
      <c r="C24">
        <v>2400</v>
      </c>
      <c r="D24">
        <v>3000</v>
      </c>
      <c r="E24" t="s">
        <v>14</v>
      </c>
      <c r="F24">
        <v>72</v>
      </c>
      <c r="G24">
        <v>600</v>
      </c>
      <c r="H24">
        <v>24</v>
      </c>
      <c r="I24" t="s">
        <v>63</v>
      </c>
      <c r="J24">
        <v>2</v>
      </c>
      <c r="K24">
        <v>2.5</v>
      </c>
      <c r="L24">
        <v>8</v>
      </c>
      <c r="M24" t="s">
        <v>76</v>
      </c>
      <c r="N24">
        <v>24</v>
      </c>
      <c r="O24">
        <f>Table1[[#This Row],[Damage Mult]]*Table1[[#This Row],[RPM]]</f>
        <v>14400</v>
      </c>
      <c r="P24">
        <f>Table1[[#This Row],[Durability]]/Table1[[#This Row],[RPM]]</f>
        <v>5</v>
      </c>
    </row>
    <row r="25" spans="1:16" x14ac:dyDescent="0.25">
      <c r="A25" t="s">
        <v>98</v>
      </c>
      <c r="B25" t="s">
        <v>48</v>
      </c>
      <c r="C25">
        <v>2500</v>
      </c>
      <c r="D25">
        <v>2200</v>
      </c>
      <c r="E25" t="s">
        <v>23</v>
      </c>
      <c r="F25">
        <v>200</v>
      </c>
      <c r="G25">
        <v>350</v>
      </c>
      <c r="H25">
        <v>6</v>
      </c>
      <c r="I25" t="s">
        <v>99</v>
      </c>
      <c r="J25">
        <v>5</v>
      </c>
      <c r="K25">
        <v>1</v>
      </c>
      <c r="L25">
        <v>16</v>
      </c>
      <c r="M25" t="s">
        <v>102</v>
      </c>
      <c r="N25">
        <v>40</v>
      </c>
      <c r="O25">
        <f>Table1[[#This Row],[Damage Mult]]*Table1[[#This Row],[RPM]]</f>
        <v>14000</v>
      </c>
      <c r="P25">
        <f>Table1[[#This Row],[Durability]]/Table1[[#This Row],[RPM]]</f>
        <v>6.2857142857142856</v>
      </c>
    </row>
    <row r="26" spans="1:16" x14ac:dyDescent="0.25">
      <c r="A26" t="s">
        <v>64</v>
      </c>
      <c r="B26" t="s">
        <v>22</v>
      </c>
      <c r="C26">
        <v>4000</v>
      </c>
      <c r="D26">
        <v>2200</v>
      </c>
      <c r="E26" t="s">
        <v>49</v>
      </c>
      <c r="F26">
        <v>320</v>
      </c>
      <c r="G26">
        <v>350</v>
      </c>
      <c r="H26">
        <v>6</v>
      </c>
      <c r="I26" t="s">
        <v>15</v>
      </c>
      <c r="J26">
        <v>17</v>
      </c>
      <c r="K26">
        <v>3.5</v>
      </c>
      <c r="L26">
        <v>16</v>
      </c>
      <c r="M26" t="s">
        <v>65</v>
      </c>
      <c r="N26">
        <v>40</v>
      </c>
      <c r="O26">
        <f>Table1[[#This Row],[Damage Mult]]*Table1[[#This Row],[RPM]]</f>
        <v>14000</v>
      </c>
      <c r="P26">
        <f>Table1[[#This Row],[Durability]]/Table1[[#This Row],[RPM]]</f>
        <v>6.2857142857142856</v>
      </c>
    </row>
    <row r="27" spans="1:16" x14ac:dyDescent="0.25">
      <c r="A27" t="s">
        <v>80</v>
      </c>
      <c r="B27" t="s">
        <v>81</v>
      </c>
      <c r="C27">
        <v>2500</v>
      </c>
      <c r="D27">
        <v>2700</v>
      </c>
      <c r="E27" t="s">
        <v>23</v>
      </c>
      <c r="F27">
        <v>120</v>
      </c>
      <c r="G27">
        <v>575</v>
      </c>
      <c r="H27">
        <v>20</v>
      </c>
      <c r="I27" t="s">
        <v>78</v>
      </c>
      <c r="J27">
        <v>4</v>
      </c>
      <c r="K27">
        <v>1.5</v>
      </c>
      <c r="L27">
        <v>16</v>
      </c>
      <c r="M27" t="s">
        <v>86</v>
      </c>
      <c r="N27">
        <v>24</v>
      </c>
      <c r="O27">
        <f>Table1[[#This Row],[Damage Mult]]*Table1[[#This Row],[RPM]]</f>
        <v>13800</v>
      </c>
      <c r="P27">
        <f>Table1[[#This Row],[Durability]]/Table1[[#This Row],[RPM]]</f>
        <v>4.6956521739130439</v>
      </c>
    </row>
    <row r="28" spans="1:16" x14ac:dyDescent="0.25">
      <c r="A28" t="s">
        <v>83</v>
      </c>
      <c r="B28" t="s">
        <v>81</v>
      </c>
      <c r="C28">
        <v>3000</v>
      </c>
      <c r="D28">
        <v>3300</v>
      </c>
      <c r="E28" t="s">
        <v>23</v>
      </c>
      <c r="F28">
        <v>120</v>
      </c>
      <c r="G28">
        <v>500</v>
      </c>
      <c r="H28">
        <v>18</v>
      </c>
      <c r="I28" t="s">
        <v>78</v>
      </c>
      <c r="J28">
        <v>5</v>
      </c>
      <c r="K28">
        <v>1.5</v>
      </c>
      <c r="L28">
        <v>16</v>
      </c>
      <c r="M28" t="s">
        <v>86</v>
      </c>
      <c r="N28">
        <v>24</v>
      </c>
      <c r="O28">
        <f>Table1[[#This Row],[Damage Mult]]*Table1[[#This Row],[RPM]]</f>
        <v>12000</v>
      </c>
      <c r="P28">
        <f>Table1[[#This Row],[Durability]]/Table1[[#This Row],[RPM]]</f>
        <v>6.6</v>
      </c>
    </row>
    <row r="29" spans="1:16" x14ac:dyDescent="0.25">
      <c r="A29" t="s">
        <v>93</v>
      </c>
      <c r="B29" t="s">
        <v>48</v>
      </c>
      <c r="C29">
        <v>3500</v>
      </c>
      <c r="D29">
        <v>3500</v>
      </c>
      <c r="E29" t="s">
        <v>19</v>
      </c>
      <c r="F29">
        <v>80</v>
      </c>
      <c r="G29">
        <v>600</v>
      </c>
      <c r="H29">
        <v>55</v>
      </c>
      <c r="I29" t="s">
        <v>63</v>
      </c>
      <c r="J29">
        <v>3</v>
      </c>
      <c r="K29">
        <v>2.5</v>
      </c>
      <c r="L29">
        <v>16</v>
      </c>
      <c r="M29" t="s">
        <v>95</v>
      </c>
      <c r="N29">
        <v>20</v>
      </c>
      <c r="O29">
        <f>Table1[[#This Row],[Damage Mult]]*Table1[[#This Row],[RPM]]</f>
        <v>12000</v>
      </c>
      <c r="P29">
        <f>Table1[[#This Row],[Durability]]/Table1[[#This Row],[RPM]]</f>
        <v>5.833333333333333</v>
      </c>
    </row>
    <row r="30" spans="1:16" x14ac:dyDescent="0.25">
      <c r="A30" t="s">
        <v>16</v>
      </c>
      <c r="B30" t="s">
        <v>13</v>
      </c>
      <c r="C30">
        <v>950</v>
      </c>
      <c r="D30">
        <v>2200</v>
      </c>
      <c r="E30" t="s">
        <v>14</v>
      </c>
      <c r="F30">
        <v>60</v>
      </c>
      <c r="G30">
        <v>600</v>
      </c>
      <c r="H30">
        <v>12</v>
      </c>
      <c r="I30" t="s">
        <v>15</v>
      </c>
      <c r="J30">
        <v>2</v>
      </c>
      <c r="K30">
        <v>2</v>
      </c>
      <c r="L30">
        <v>5</v>
      </c>
      <c r="M30" t="s">
        <v>45</v>
      </c>
      <c r="N30">
        <v>20</v>
      </c>
      <c r="O30">
        <f>Table1[[#This Row],[Damage Mult]]*Table1[[#This Row],[RPM]]</f>
        <v>12000</v>
      </c>
      <c r="P30">
        <f>Table1[[#This Row],[Durability]]/Table1[[#This Row],[RPM]]</f>
        <v>3.6666666666666665</v>
      </c>
    </row>
    <row r="31" spans="1:16" x14ac:dyDescent="0.25">
      <c r="A31" t="s">
        <v>17</v>
      </c>
      <c r="B31" t="s">
        <v>13</v>
      </c>
      <c r="C31">
        <v>1250</v>
      </c>
      <c r="D31">
        <v>2100</v>
      </c>
      <c r="E31" t="s">
        <v>14</v>
      </c>
      <c r="F31">
        <v>60</v>
      </c>
      <c r="G31">
        <v>600</v>
      </c>
      <c r="H31">
        <v>30</v>
      </c>
      <c r="I31" t="s">
        <v>15</v>
      </c>
      <c r="J31">
        <v>2</v>
      </c>
      <c r="K31">
        <v>2.5</v>
      </c>
      <c r="L31">
        <v>5</v>
      </c>
      <c r="M31" t="s">
        <v>45</v>
      </c>
      <c r="N31">
        <v>20</v>
      </c>
      <c r="O31">
        <f>Table1[[#This Row],[Damage Mult]]*Table1[[#This Row],[RPM]]</f>
        <v>12000</v>
      </c>
      <c r="P31">
        <f>Table1[[#This Row],[Durability]]/Table1[[#This Row],[RPM]]</f>
        <v>3.5</v>
      </c>
    </row>
    <row r="32" spans="1:16" x14ac:dyDescent="0.25">
      <c r="A32" t="s">
        <v>28</v>
      </c>
      <c r="B32" t="s">
        <v>29</v>
      </c>
      <c r="C32">
        <v>1400</v>
      </c>
      <c r="D32">
        <v>4000</v>
      </c>
      <c r="E32" t="s">
        <v>30</v>
      </c>
      <c r="F32">
        <v>50</v>
      </c>
      <c r="G32">
        <v>600</v>
      </c>
      <c r="H32">
        <v>10</v>
      </c>
      <c r="I32" t="s">
        <v>15</v>
      </c>
      <c r="J32">
        <v>0</v>
      </c>
      <c r="K32">
        <v>1</v>
      </c>
      <c r="L32">
        <v>5</v>
      </c>
      <c r="M32" t="s">
        <v>45</v>
      </c>
      <c r="N32">
        <v>16.7</v>
      </c>
      <c r="O32">
        <f>Table1[[#This Row],[Damage Mult]]*Table1[[#This Row],[RPM]]</f>
        <v>10020</v>
      </c>
      <c r="P32">
        <f>Table1[[#This Row],[Durability]]/Table1[[#This Row],[RPM]]</f>
        <v>6.666666666666667</v>
      </c>
    </row>
    <row r="33" spans="1:16" x14ac:dyDescent="0.25">
      <c r="A33" t="s">
        <v>94</v>
      </c>
      <c r="B33" t="s">
        <v>48</v>
      </c>
      <c r="C33">
        <v>1750</v>
      </c>
      <c r="D33">
        <v>3200</v>
      </c>
      <c r="E33" t="s">
        <v>23</v>
      </c>
      <c r="F33">
        <v>120</v>
      </c>
      <c r="G33">
        <v>400</v>
      </c>
      <c r="H33">
        <v>20</v>
      </c>
      <c r="I33" t="s">
        <v>63</v>
      </c>
      <c r="J33">
        <v>3</v>
      </c>
      <c r="K33">
        <v>3</v>
      </c>
      <c r="L33">
        <v>35</v>
      </c>
      <c r="M33" t="s">
        <v>95</v>
      </c>
      <c r="N33">
        <v>24</v>
      </c>
      <c r="O33">
        <f>Table1[[#This Row],[Damage Mult]]*Table1[[#This Row],[RPM]]</f>
        <v>9600</v>
      </c>
      <c r="P33">
        <f>Table1[[#This Row],[Durability]]/Table1[[#This Row],[RPM]]</f>
        <v>8</v>
      </c>
    </row>
    <row r="34" spans="1:16" x14ac:dyDescent="0.25">
      <c r="A34" t="s">
        <v>73</v>
      </c>
      <c r="B34" t="s">
        <v>22</v>
      </c>
      <c r="C34">
        <v>1600</v>
      </c>
      <c r="D34">
        <v>3600</v>
      </c>
      <c r="E34" t="s">
        <v>19</v>
      </c>
      <c r="F34">
        <v>80</v>
      </c>
      <c r="G34">
        <v>450</v>
      </c>
      <c r="H34">
        <v>15</v>
      </c>
      <c r="I34" t="s">
        <v>15</v>
      </c>
      <c r="J34">
        <v>2.5</v>
      </c>
      <c r="K34">
        <v>2</v>
      </c>
      <c r="L34">
        <v>8</v>
      </c>
      <c r="M34" t="s">
        <v>76</v>
      </c>
      <c r="N34">
        <v>20</v>
      </c>
      <c r="O34">
        <f>Table1[[#This Row],[Damage Mult]]*Table1[[#This Row],[RPM]]</f>
        <v>9000</v>
      </c>
      <c r="P34">
        <f>Table1[[#This Row],[Durability]]/Table1[[#This Row],[RPM]]</f>
        <v>8</v>
      </c>
    </row>
    <row r="35" spans="1:16" x14ac:dyDescent="0.25">
      <c r="A35" t="s">
        <v>12</v>
      </c>
      <c r="B35" t="s">
        <v>13</v>
      </c>
      <c r="C35">
        <v>1</v>
      </c>
      <c r="D35">
        <v>2000</v>
      </c>
      <c r="E35" t="s">
        <v>14</v>
      </c>
      <c r="F35">
        <v>60</v>
      </c>
      <c r="G35">
        <v>450</v>
      </c>
      <c r="H35">
        <v>7</v>
      </c>
      <c r="I35" t="s">
        <v>15</v>
      </c>
      <c r="J35">
        <v>2</v>
      </c>
      <c r="K35">
        <v>2</v>
      </c>
      <c r="L35">
        <v>5</v>
      </c>
      <c r="M35" t="s">
        <v>45</v>
      </c>
      <c r="N35">
        <v>20</v>
      </c>
      <c r="O35">
        <f>Table1[[#This Row],[Damage Mult]]*Table1[[#This Row],[RPM]]</f>
        <v>9000</v>
      </c>
      <c r="P35">
        <f>Table1[[#This Row],[Durability]]/Table1[[#This Row],[RPM]]</f>
        <v>4.4444444444444446</v>
      </c>
    </row>
    <row r="36" spans="1:16" x14ac:dyDescent="0.25">
      <c r="A36" t="s">
        <v>31</v>
      </c>
      <c r="B36" t="s">
        <v>22</v>
      </c>
      <c r="C36">
        <v>1500</v>
      </c>
      <c r="D36">
        <v>2000</v>
      </c>
      <c r="E36" t="s">
        <v>23</v>
      </c>
      <c r="F36" t="s">
        <v>116</v>
      </c>
      <c r="G36">
        <v>450</v>
      </c>
      <c r="H36">
        <v>14</v>
      </c>
      <c r="I36" t="s">
        <v>15</v>
      </c>
      <c r="J36">
        <v>12</v>
      </c>
      <c r="K36">
        <v>2.5</v>
      </c>
      <c r="L36">
        <v>5</v>
      </c>
      <c r="M36" t="s">
        <v>45</v>
      </c>
      <c r="N36">
        <v>20</v>
      </c>
      <c r="O36">
        <f>Table1[[#This Row],[Damage Mult]]*Table1[[#This Row],[RPM]]</f>
        <v>9000</v>
      </c>
      <c r="P36">
        <f>Table1[[#This Row],[Durability]]/Table1[[#This Row],[RPM]]</f>
        <v>4.4444444444444446</v>
      </c>
    </row>
    <row r="37" spans="1:16" x14ac:dyDescent="0.25">
      <c r="A37" t="s">
        <v>111</v>
      </c>
      <c r="B37" t="s">
        <v>48</v>
      </c>
      <c r="C37">
        <v>1600</v>
      </c>
      <c r="D37">
        <v>2200</v>
      </c>
      <c r="E37" t="s">
        <v>23</v>
      </c>
      <c r="F37">
        <v>400</v>
      </c>
      <c r="G37">
        <v>100</v>
      </c>
      <c r="H37">
        <v>8</v>
      </c>
      <c r="I37" t="s">
        <v>112</v>
      </c>
      <c r="J37">
        <v>20</v>
      </c>
      <c r="K37">
        <v>1</v>
      </c>
      <c r="L37">
        <v>16</v>
      </c>
      <c r="M37" t="s">
        <v>115</v>
      </c>
      <c r="N37">
        <v>80</v>
      </c>
      <c r="O37">
        <f>Table1[[#This Row],[Damage Mult]]*Table1[[#This Row],[RPM]]</f>
        <v>8000</v>
      </c>
      <c r="P37">
        <f>Table1[[#This Row],[Durability]]/Table1[[#This Row],[RPM]]</f>
        <v>22</v>
      </c>
    </row>
    <row r="38" spans="1:16" x14ac:dyDescent="0.25">
      <c r="A38" t="s">
        <v>32</v>
      </c>
      <c r="B38" t="s">
        <v>13</v>
      </c>
      <c r="C38">
        <v>2000</v>
      </c>
      <c r="D38">
        <v>2700</v>
      </c>
      <c r="E38" t="s">
        <v>14</v>
      </c>
      <c r="F38">
        <v>60</v>
      </c>
      <c r="G38">
        <v>400</v>
      </c>
      <c r="H38">
        <v>30</v>
      </c>
      <c r="I38" t="s">
        <v>33</v>
      </c>
      <c r="J38">
        <v>1</v>
      </c>
      <c r="K38">
        <v>3</v>
      </c>
      <c r="L38">
        <v>5</v>
      </c>
      <c r="M38" t="s">
        <v>45</v>
      </c>
      <c r="N38">
        <v>20</v>
      </c>
      <c r="O38">
        <f>Table1[[#This Row],[Damage Mult]]*Table1[[#This Row],[RPM]]</f>
        <v>8000</v>
      </c>
      <c r="P38">
        <f>Table1[[#This Row],[Durability]]/Table1[[#This Row],[RPM]]</f>
        <v>6.75</v>
      </c>
    </row>
    <row r="39" spans="1:16" x14ac:dyDescent="0.25">
      <c r="A39" t="s">
        <v>66</v>
      </c>
      <c r="B39" t="s">
        <v>13</v>
      </c>
      <c r="C39">
        <v>250</v>
      </c>
      <c r="D39">
        <v>3300</v>
      </c>
      <c r="E39" t="s">
        <v>14</v>
      </c>
      <c r="F39">
        <v>60</v>
      </c>
      <c r="G39">
        <v>350</v>
      </c>
      <c r="H39">
        <v>20</v>
      </c>
      <c r="I39" t="s">
        <v>63</v>
      </c>
      <c r="J39">
        <v>2</v>
      </c>
      <c r="K39">
        <v>3</v>
      </c>
      <c r="L39">
        <v>8</v>
      </c>
      <c r="M39" t="s">
        <v>76</v>
      </c>
      <c r="N39">
        <v>20</v>
      </c>
      <c r="O39">
        <f>Table1[[#This Row],[Damage Mult]]*Table1[[#This Row],[RPM]]</f>
        <v>7000</v>
      </c>
      <c r="P39">
        <f>Table1[[#This Row],[Durability]]/Table1[[#This Row],[RPM]]</f>
        <v>9.4285714285714288</v>
      </c>
    </row>
    <row r="40" spans="1:16" x14ac:dyDescent="0.25">
      <c r="A40" t="s">
        <v>59</v>
      </c>
      <c r="B40" t="s">
        <v>48</v>
      </c>
      <c r="C40">
        <v>1500</v>
      </c>
      <c r="D40">
        <v>1800</v>
      </c>
      <c r="E40" t="s">
        <v>30</v>
      </c>
      <c r="F40">
        <v>450</v>
      </c>
      <c r="G40">
        <v>45</v>
      </c>
      <c r="H40">
        <v>6</v>
      </c>
      <c r="I40" t="s">
        <v>58</v>
      </c>
      <c r="J40">
        <v>0</v>
      </c>
      <c r="K40">
        <v>4</v>
      </c>
      <c r="L40">
        <v>16</v>
      </c>
      <c r="M40" t="s">
        <v>65</v>
      </c>
      <c r="N40">
        <v>150</v>
      </c>
      <c r="O40">
        <f>Table1[[#This Row],[Damage Mult]]*Table1[[#This Row],[RPM]]</f>
        <v>6750</v>
      </c>
      <c r="P40">
        <f>Table1[[#This Row],[Durability]]/Table1[[#This Row],[RPM]]</f>
        <v>40</v>
      </c>
    </row>
    <row r="41" spans="1:16" x14ac:dyDescent="0.25">
      <c r="A41" t="s">
        <v>18</v>
      </c>
      <c r="B41" t="s">
        <v>13</v>
      </c>
      <c r="C41">
        <v>500</v>
      </c>
      <c r="D41">
        <v>3000</v>
      </c>
      <c r="E41" t="s">
        <v>19</v>
      </c>
      <c r="F41">
        <v>80</v>
      </c>
      <c r="G41">
        <v>300</v>
      </c>
      <c r="H41">
        <v>7</v>
      </c>
      <c r="I41" t="s">
        <v>15</v>
      </c>
      <c r="J41">
        <v>4</v>
      </c>
      <c r="K41">
        <v>2</v>
      </c>
      <c r="L41">
        <v>5</v>
      </c>
      <c r="M41" t="s">
        <v>45</v>
      </c>
      <c r="N41">
        <v>20</v>
      </c>
      <c r="O41">
        <f>Table1[[#This Row],[Damage Mult]]*Table1[[#This Row],[RPM]]</f>
        <v>6000</v>
      </c>
      <c r="P41">
        <f>Table1[[#This Row],[Durability]]/Table1[[#This Row],[RPM]]</f>
        <v>10</v>
      </c>
    </row>
    <row r="42" spans="1:16" x14ac:dyDescent="0.25">
      <c r="A42" t="s">
        <v>56</v>
      </c>
      <c r="B42" t="s">
        <v>22</v>
      </c>
      <c r="C42">
        <v>300</v>
      </c>
      <c r="D42">
        <v>1800</v>
      </c>
      <c r="E42" t="s">
        <v>49</v>
      </c>
      <c r="F42">
        <v>960</v>
      </c>
      <c r="G42">
        <v>45</v>
      </c>
      <c r="H42">
        <v>3</v>
      </c>
      <c r="I42" t="s">
        <v>58</v>
      </c>
      <c r="J42">
        <v>30</v>
      </c>
      <c r="K42">
        <v>10</v>
      </c>
      <c r="L42">
        <v>8</v>
      </c>
      <c r="M42" t="s">
        <v>65</v>
      </c>
      <c r="N42">
        <v>120</v>
      </c>
      <c r="O42">
        <f>Table1[[#This Row],[Damage Mult]]*Table1[[#This Row],[RPM]]</f>
        <v>5400</v>
      </c>
      <c r="P42">
        <f>Table1[[#This Row],[Durability]]/Table1[[#This Row],[RPM]]</f>
        <v>40</v>
      </c>
    </row>
    <row r="43" spans="1:16" x14ac:dyDescent="0.25">
      <c r="A43" t="s">
        <v>105</v>
      </c>
      <c r="B43" t="s">
        <v>106</v>
      </c>
      <c r="C43">
        <v>1600</v>
      </c>
      <c r="D43">
        <v>1000</v>
      </c>
      <c r="E43" t="s">
        <v>70</v>
      </c>
      <c r="F43">
        <v>500</v>
      </c>
      <c r="G43">
        <v>100</v>
      </c>
      <c r="H43">
        <v>5</v>
      </c>
      <c r="I43" t="s">
        <v>107</v>
      </c>
      <c r="J43">
        <v>8</v>
      </c>
      <c r="K43">
        <v>1.5</v>
      </c>
      <c r="L43">
        <v>16</v>
      </c>
      <c r="M43" t="s">
        <v>115</v>
      </c>
      <c r="N43">
        <v>50</v>
      </c>
      <c r="O43">
        <f>Table1[[#This Row],[Damage Mult]]*Table1[[#This Row],[RPM]]</f>
        <v>5000</v>
      </c>
      <c r="P43">
        <f>Table1[[#This Row],[Durability]]/Table1[[#This Row],[RPM]]</f>
        <v>10</v>
      </c>
    </row>
    <row r="44" spans="1:16" x14ac:dyDescent="0.25">
      <c r="A44" t="s">
        <v>21</v>
      </c>
      <c r="B44" t="s">
        <v>22</v>
      </c>
      <c r="C44">
        <v>2500</v>
      </c>
      <c r="D44">
        <v>2000</v>
      </c>
      <c r="E44" t="s">
        <v>23</v>
      </c>
      <c r="F44">
        <v>120</v>
      </c>
      <c r="G44">
        <v>170</v>
      </c>
      <c r="H44">
        <v>8</v>
      </c>
      <c r="I44" t="s">
        <v>15</v>
      </c>
      <c r="J44">
        <v>15</v>
      </c>
      <c r="K44">
        <v>1.5</v>
      </c>
      <c r="L44">
        <v>5</v>
      </c>
      <c r="M44" t="s">
        <v>45</v>
      </c>
      <c r="N44">
        <v>24</v>
      </c>
      <c r="O44">
        <f>Table1[[#This Row],[Damage Mult]]*Table1[[#This Row],[RPM]]</f>
        <v>4080</v>
      </c>
      <c r="P44">
        <f>Table1[[#This Row],[Durability]]/Table1[[#This Row],[RPM]]</f>
        <v>11.764705882352942</v>
      </c>
    </row>
    <row r="45" spans="1:16" x14ac:dyDescent="0.25">
      <c r="A45" t="s">
        <v>113</v>
      </c>
      <c r="B45" t="s">
        <v>114</v>
      </c>
      <c r="C45">
        <v>4500</v>
      </c>
      <c r="D45">
        <v>1200</v>
      </c>
      <c r="E45" t="s">
        <v>70</v>
      </c>
      <c r="F45">
        <v>400</v>
      </c>
      <c r="G45">
        <v>100</v>
      </c>
      <c r="H45">
        <v>6</v>
      </c>
      <c r="I45" t="s">
        <v>15</v>
      </c>
      <c r="J45">
        <v>8</v>
      </c>
      <c r="K45">
        <v>1</v>
      </c>
      <c r="L45">
        <v>25</v>
      </c>
      <c r="M45" t="s">
        <v>115</v>
      </c>
      <c r="N45">
        <v>40</v>
      </c>
      <c r="O45">
        <f>Table1[[#This Row],[Damage Mult]]*Table1[[#This Row],[RPM]]</f>
        <v>4000</v>
      </c>
      <c r="P45">
        <f>Table1[[#This Row],[Durability]]/Table1[[#This Row],[RPM]]</f>
        <v>12</v>
      </c>
    </row>
    <row r="46" spans="1:16" x14ac:dyDescent="0.25">
      <c r="A46" t="s">
        <v>26</v>
      </c>
      <c r="B46" t="s">
        <v>27</v>
      </c>
      <c r="C46">
        <v>1000</v>
      </c>
      <c r="D46">
        <v>800</v>
      </c>
      <c r="E46" t="s">
        <v>14</v>
      </c>
      <c r="F46">
        <v>60</v>
      </c>
      <c r="G46">
        <v>200</v>
      </c>
      <c r="H46">
        <v>5</v>
      </c>
      <c r="I46" t="s">
        <v>15</v>
      </c>
      <c r="J46">
        <v>10</v>
      </c>
      <c r="K46">
        <v>3</v>
      </c>
      <c r="L46">
        <v>0</v>
      </c>
      <c r="M46" t="s">
        <v>45</v>
      </c>
      <c r="N46">
        <v>20</v>
      </c>
      <c r="O46">
        <f>Table1[[#This Row],[Damage Mult]]*Table1[[#This Row],[RPM]]</f>
        <v>4000</v>
      </c>
      <c r="P46">
        <f>Table1[[#This Row],[Durability]]/Table1[[#This Row],[RPM]]</f>
        <v>4</v>
      </c>
    </row>
    <row r="47" spans="1:16" x14ac:dyDescent="0.25">
      <c r="A47" t="s">
        <v>100</v>
      </c>
      <c r="B47" t="s">
        <v>81</v>
      </c>
      <c r="C47">
        <v>1750</v>
      </c>
      <c r="D47">
        <v>2800</v>
      </c>
      <c r="E47" t="s">
        <v>19</v>
      </c>
      <c r="F47">
        <v>160</v>
      </c>
      <c r="G47">
        <v>80</v>
      </c>
      <c r="H47">
        <v>8</v>
      </c>
      <c r="I47" t="s">
        <v>37</v>
      </c>
      <c r="J47">
        <v>10</v>
      </c>
      <c r="K47">
        <v>2</v>
      </c>
      <c r="L47">
        <v>8</v>
      </c>
      <c r="M47" t="s">
        <v>102</v>
      </c>
      <c r="N47">
        <v>40</v>
      </c>
      <c r="O47">
        <f>Table1[[#This Row],[Damage Mult]]*Table1[[#This Row],[RPM]]</f>
        <v>3200</v>
      </c>
      <c r="P47">
        <f>Table1[[#This Row],[Durability]]/Table1[[#This Row],[RPM]]</f>
        <v>35</v>
      </c>
    </row>
    <row r="48" spans="1:16" x14ac:dyDescent="0.25">
      <c r="A48" t="s">
        <v>53</v>
      </c>
      <c r="B48" t="s">
        <v>22</v>
      </c>
      <c r="C48">
        <v>750</v>
      </c>
      <c r="D48">
        <v>2400</v>
      </c>
      <c r="E48" t="s">
        <v>49</v>
      </c>
      <c r="F48">
        <v>320</v>
      </c>
      <c r="G48">
        <v>80</v>
      </c>
      <c r="H48">
        <v>6</v>
      </c>
      <c r="I48" t="s">
        <v>55</v>
      </c>
      <c r="J48">
        <v>15</v>
      </c>
      <c r="K48">
        <v>5</v>
      </c>
      <c r="L48">
        <v>16</v>
      </c>
      <c r="M48" t="s">
        <v>65</v>
      </c>
      <c r="N48">
        <v>40</v>
      </c>
      <c r="O48">
        <f>Table1[[#This Row],[Damage Mult]]*Table1[[#This Row],[RPM]]</f>
        <v>3200</v>
      </c>
      <c r="P48">
        <f>Table1[[#This Row],[Durability]]/Table1[[#This Row],[RPM]]</f>
        <v>30</v>
      </c>
    </row>
    <row r="49" spans="1:16" x14ac:dyDescent="0.25">
      <c r="A49" t="s">
        <v>36</v>
      </c>
      <c r="B49" t="s">
        <v>13</v>
      </c>
      <c r="C49">
        <v>250</v>
      </c>
      <c r="D49">
        <v>3300</v>
      </c>
      <c r="E49" t="s">
        <v>14</v>
      </c>
      <c r="F49">
        <v>96</v>
      </c>
      <c r="G49">
        <v>80</v>
      </c>
      <c r="H49">
        <v>6</v>
      </c>
      <c r="I49" t="s">
        <v>37</v>
      </c>
      <c r="J49">
        <v>5</v>
      </c>
      <c r="K49">
        <v>2.5</v>
      </c>
      <c r="L49">
        <v>5</v>
      </c>
      <c r="M49" t="s">
        <v>46</v>
      </c>
      <c r="N49">
        <v>32</v>
      </c>
      <c r="O49">
        <f>Table1[[#This Row],[Damage Mult]]*Table1[[#This Row],[RPM]]</f>
        <v>2560</v>
      </c>
      <c r="P49">
        <f>Table1[[#This Row],[Durability]]/Table1[[#This Row],[RPM]]</f>
        <v>41.25</v>
      </c>
    </row>
    <row r="50" spans="1:16" x14ac:dyDescent="0.25">
      <c r="A50" t="s">
        <v>38</v>
      </c>
      <c r="B50" t="s">
        <v>22</v>
      </c>
      <c r="C50">
        <v>1500</v>
      </c>
      <c r="D50">
        <v>2800</v>
      </c>
      <c r="E50" t="s">
        <v>19</v>
      </c>
      <c r="F50">
        <v>128</v>
      </c>
      <c r="G50">
        <v>80</v>
      </c>
      <c r="H50">
        <v>7</v>
      </c>
      <c r="I50" t="s">
        <v>37</v>
      </c>
      <c r="J50">
        <v>9</v>
      </c>
      <c r="K50">
        <v>2</v>
      </c>
      <c r="L50">
        <v>5</v>
      </c>
      <c r="M50" t="s">
        <v>46</v>
      </c>
      <c r="N50">
        <v>32</v>
      </c>
      <c r="O50">
        <f>Table1[[#This Row],[Damage Mult]]*Table1[[#This Row],[RPM]]</f>
        <v>2560</v>
      </c>
      <c r="P50">
        <f>Table1[[#This Row],[Durability]]/Table1[[#This Row],[RPM]]</f>
        <v>35</v>
      </c>
    </row>
    <row r="51" spans="1:16" x14ac:dyDescent="0.25">
      <c r="A51" t="s">
        <v>39</v>
      </c>
      <c r="B51" t="s">
        <v>22</v>
      </c>
      <c r="C51">
        <v>1600</v>
      </c>
      <c r="D51">
        <v>2500</v>
      </c>
      <c r="E51" t="s">
        <v>23</v>
      </c>
      <c r="F51">
        <v>160</v>
      </c>
      <c r="G51">
        <v>80</v>
      </c>
      <c r="H51">
        <v>4</v>
      </c>
      <c r="I51" t="s">
        <v>40</v>
      </c>
      <c r="J51">
        <v>20</v>
      </c>
      <c r="K51">
        <v>2</v>
      </c>
      <c r="L51">
        <v>5</v>
      </c>
      <c r="M51" t="s">
        <v>46</v>
      </c>
      <c r="N51">
        <v>32</v>
      </c>
      <c r="O51">
        <f>Table1[[#This Row],[Damage Mult]]*Table1[[#This Row],[RPM]]</f>
        <v>2560</v>
      </c>
      <c r="P51">
        <f>Table1[[#This Row],[Durability]]/Table1[[#This Row],[RPM]]</f>
        <v>31.25</v>
      </c>
    </row>
    <row r="52" spans="1:16" x14ac:dyDescent="0.25">
      <c r="A52" t="s">
        <v>24</v>
      </c>
      <c r="B52" t="s">
        <v>22</v>
      </c>
      <c r="C52">
        <v>750</v>
      </c>
      <c r="D52">
        <v>2500</v>
      </c>
      <c r="E52" t="s">
        <v>14</v>
      </c>
      <c r="F52">
        <v>90</v>
      </c>
      <c r="G52">
        <v>80</v>
      </c>
      <c r="H52">
        <v>10</v>
      </c>
      <c r="I52" t="s">
        <v>25</v>
      </c>
      <c r="J52">
        <v>4</v>
      </c>
      <c r="K52">
        <v>2</v>
      </c>
      <c r="L52">
        <v>5</v>
      </c>
      <c r="M52" t="s">
        <v>45</v>
      </c>
      <c r="N52">
        <v>30</v>
      </c>
      <c r="O52">
        <f>Table1[[#This Row],[Damage Mult]]*Table1[[#This Row],[RPM]]</f>
        <v>2400</v>
      </c>
      <c r="P52">
        <f>Table1[[#This Row],[Durability]]/Table1[[#This Row],[RPM]]</f>
        <v>31.25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81E6-BBEE-4FCA-B4AA-95FBF502042F}">
  <dimension ref="A1:M52"/>
  <sheetViews>
    <sheetView workbookViewId="0">
      <selection activeCell="Q1" sqref="Q1:AC52"/>
    </sheetView>
  </sheetViews>
  <sheetFormatPr defaultRowHeight="15" x14ac:dyDescent="0.25"/>
  <cols>
    <col min="1" max="1" width="9.140625" customWidth="1"/>
    <col min="6" max="6" width="16.28515625" customWidth="1"/>
    <col min="9" max="9" width="24.7109375" bestFit="1" customWidth="1"/>
    <col min="10" max="10" width="8.42578125" customWidth="1"/>
    <col min="13" max="13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44</v>
      </c>
    </row>
    <row r="2" spans="1:13" x14ac:dyDescent="0.25">
      <c r="A2" t="s">
        <v>12</v>
      </c>
      <c r="B2" t="s">
        <v>13</v>
      </c>
      <c r="C2">
        <v>1</v>
      </c>
      <c r="D2">
        <v>2000</v>
      </c>
      <c r="E2" t="s">
        <v>14</v>
      </c>
      <c r="F2">
        <v>60</v>
      </c>
      <c r="G2">
        <v>450</v>
      </c>
      <c r="H2">
        <v>7</v>
      </c>
      <c r="I2" t="s">
        <v>15</v>
      </c>
      <c r="J2">
        <v>2</v>
      </c>
      <c r="K2">
        <v>2</v>
      </c>
      <c r="L2">
        <v>5</v>
      </c>
      <c r="M2" t="s">
        <v>45</v>
      </c>
    </row>
    <row r="3" spans="1:13" x14ac:dyDescent="0.25">
      <c r="A3" t="s">
        <v>16</v>
      </c>
      <c r="B3" t="s">
        <v>13</v>
      </c>
      <c r="C3">
        <v>950</v>
      </c>
      <c r="D3">
        <v>2200</v>
      </c>
      <c r="E3" t="s">
        <v>14</v>
      </c>
      <c r="F3">
        <v>60</v>
      </c>
      <c r="G3">
        <v>600</v>
      </c>
      <c r="H3">
        <v>12</v>
      </c>
      <c r="I3" t="s">
        <v>15</v>
      </c>
      <c r="J3">
        <v>2</v>
      </c>
      <c r="K3">
        <v>2</v>
      </c>
      <c r="L3">
        <v>5</v>
      </c>
      <c r="M3" t="s">
        <v>45</v>
      </c>
    </row>
    <row r="4" spans="1:13" x14ac:dyDescent="0.25">
      <c r="A4" t="s">
        <v>17</v>
      </c>
      <c r="B4" t="s">
        <v>13</v>
      </c>
      <c r="C4">
        <v>1250</v>
      </c>
      <c r="D4">
        <v>2100</v>
      </c>
      <c r="E4" t="s">
        <v>14</v>
      </c>
      <c r="F4">
        <v>60</v>
      </c>
      <c r="G4">
        <v>600</v>
      </c>
      <c r="H4">
        <v>30</v>
      </c>
      <c r="I4" t="s">
        <v>15</v>
      </c>
      <c r="J4">
        <v>2</v>
      </c>
      <c r="K4">
        <v>2.5</v>
      </c>
      <c r="L4">
        <v>5</v>
      </c>
      <c r="M4" t="s">
        <v>45</v>
      </c>
    </row>
    <row r="5" spans="1:13" x14ac:dyDescent="0.25">
      <c r="A5" t="s">
        <v>18</v>
      </c>
      <c r="B5" t="s">
        <v>13</v>
      </c>
      <c r="C5">
        <v>500</v>
      </c>
      <c r="D5">
        <v>3000</v>
      </c>
      <c r="E5" t="s">
        <v>19</v>
      </c>
      <c r="F5">
        <v>80</v>
      </c>
      <c r="G5">
        <v>300</v>
      </c>
      <c r="H5">
        <v>7</v>
      </c>
      <c r="I5" t="s">
        <v>15</v>
      </c>
      <c r="J5">
        <v>4</v>
      </c>
      <c r="K5">
        <v>2</v>
      </c>
      <c r="L5">
        <v>5</v>
      </c>
      <c r="M5" t="s">
        <v>45</v>
      </c>
    </row>
    <row r="6" spans="1:13" x14ac:dyDescent="0.25">
      <c r="A6" t="s">
        <v>20</v>
      </c>
      <c r="B6" t="s">
        <v>13</v>
      </c>
      <c r="C6">
        <v>900</v>
      </c>
      <c r="D6">
        <v>2250</v>
      </c>
      <c r="E6" t="s">
        <v>14</v>
      </c>
      <c r="F6">
        <v>60</v>
      </c>
      <c r="G6">
        <v>800</v>
      </c>
      <c r="H6">
        <v>26</v>
      </c>
      <c r="I6" t="s">
        <v>15</v>
      </c>
      <c r="J6">
        <v>3</v>
      </c>
      <c r="K6">
        <v>3</v>
      </c>
      <c r="L6">
        <v>8</v>
      </c>
      <c r="M6" t="s">
        <v>45</v>
      </c>
    </row>
    <row r="7" spans="1:13" x14ac:dyDescent="0.25">
      <c r="A7" t="s">
        <v>21</v>
      </c>
      <c r="B7" t="s">
        <v>22</v>
      </c>
      <c r="C7">
        <v>2500</v>
      </c>
      <c r="D7">
        <v>2000</v>
      </c>
      <c r="E7" t="s">
        <v>23</v>
      </c>
      <c r="F7">
        <v>120</v>
      </c>
      <c r="G7">
        <v>170</v>
      </c>
      <c r="H7">
        <v>8</v>
      </c>
      <c r="I7" t="s">
        <v>15</v>
      </c>
      <c r="J7">
        <v>15</v>
      </c>
      <c r="K7">
        <v>1.5</v>
      </c>
      <c r="L7">
        <v>5</v>
      </c>
      <c r="M7" t="s">
        <v>45</v>
      </c>
    </row>
    <row r="8" spans="1:13" x14ac:dyDescent="0.25">
      <c r="A8" t="s">
        <v>24</v>
      </c>
      <c r="B8" t="s">
        <v>22</v>
      </c>
      <c r="C8">
        <v>750</v>
      </c>
      <c r="D8">
        <v>2500</v>
      </c>
      <c r="E8" t="s">
        <v>14</v>
      </c>
      <c r="F8">
        <v>90</v>
      </c>
      <c r="G8">
        <v>80</v>
      </c>
      <c r="H8">
        <v>10</v>
      </c>
      <c r="I8" t="s">
        <v>25</v>
      </c>
      <c r="J8">
        <v>4</v>
      </c>
      <c r="K8">
        <v>2</v>
      </c>
      <c r="L8">
        <v>5</v>
      </c>
      <c r="M8" t="s">
        <v>45</v>
      </c>
    </row>
    <row r="9" spans="1:13" x14ac:dyDescent="0.25">
      <c r="A9" t="s">
        <v>26</v>
      </c>
      <c r="B9" t="s">
        <v>27</v>
      </c>
      <c r="C9">
        <v>1000</v>
      </c>
      <c r="D9">
        <v>800</v>
      </c>
      <c r="E9" t="s">
        <v>14</v>
      </c>
      <c r="F9">
        <v>60</v>
      </c>
      <c r="G9">
        <v>200</v>
      </c>
      <c r="H9">
        <v>5</v>
      </c>
      <c r="I9" t="s">
        <v>15</v>
      </c>
      <c r="J9">
        <v>10</v>
      </c>
      <c r="K9">
        <v>3</v>
      </c>
      <c r="L9">
        <v>0</v>
      </c>
      <c r="M9" t="s">
        <v>45</v>
      </c>
    </row>
    <row r="10" spans="1:13" x14ac:dyDescent="0.25">
      <c r="A10" t="s">
        <v>28</v>
      </c>
      <c r="B10" t="s">
        <v>29</v>
      </c>
      <c r="C10">
        <v>1400</v>
      </c>
      <c r="D10">
        <v>4000</v>
      </c>
      <c r="E10" t="s">
        <v>30</v>
      </c>
      <c r="F10">
        <v>50</v>
      </c>
      <c r="G10">
        <v>600</v>
      </c>
      <c r="H10">
        <v>10</v>
      </c>
      <c r="I10" t="s">
        <v>15</v>
      </c>
      <c r="J10">
        <v>0</v>
      </c>
      <c r="K10">
        <v>1</v>
      </c>
      <c r="L10">
        <v>5</v>
      </c>
      <c r="M10" t="s">
        <v>45</v>
      </c>
    </row>
    <row r="11" spans="1:13" x14ac:dyDescent="0.25">
      <c r="A11" t="s">
        <v>31</v>
      </c>
      <c r="B11" t="s">
        <v>22</v>
      </c>
      <c r="C11">
        <v>1500</v>
      </c>
      <c r="D11">
        <v>2000</v>
      </c>
      <c r="E11" t="s">
        <v>23</v>
      </c>
      <c r="F11" t="s">
        <v>35</v>
      </c>
      <c r="G11">
        <v>450</v>
      </c>
      <c r="H11">
        <v>14</v>
      </c>
      <c r="I11" t="s">
        <v>15</v>
      </c>
      <c r="J11">
        <v>12</v>
      </c>
      <c r="K11">
        <v>2.5</v>
      </c>
      <c r="L11">
        <v>5</v>
      </c>
      <c r="M11" t="s">
        <v>45</v>
      </c>
    </row>
    <row r="12" spans="1:13" x14ac:dyDescent="0.25">
      <c r="A12" t="s">
        <v>32</v>
      </c>
      <c r="B12" t="s">
        <v>13</v>
      </c>
      <c r="C12">
        <v>2000</v>
      </c>
      <c r="D12">
        <v>2700</v>
      </c>
      <c r="E12" t="s">
        <v>14</v>
      </c>
      <c r="F12">
        <v>60</v>
      </c>
      <c r="G12">
        <v>400</v>
      </c>
      <c r="H12">
        <v>30</v>
      </c>
      <c r="I12" t="s">
        <v>33</v>
      </c>
      <c r="J12">
        <v>1</v>
      </c>
      <c r="K12">
        <v>3</v>
      </c>
      <c r="L12">
        <v>5</v>
      </c>
      <c r="M12" t="s">
        <v>45</v>
      </c>
    </row>
    <row r="13" spans="1:13" x14ac:dyDescent="0.25">
      <c r="A13" t="s">
        <v>34</v>
      </c>
      <c r="B13" t="s">
        <v>13</v>
      </c>
      <c r="C13">
        <v>1500</v>
      </c>
      <c r="D13">
        <v>3700</v>
      </c>
      <c r="E13" t="s">
        <v>19</v>
      </c>
      <c r="F13">
        <v>104</v>
      </c>
      <c r="G13">
        <v>800</v>
      </c>
      <c r="H13">
        <v>14</v>
      </c>
      <c r="I13" t="s">
        <v>15</v>
      </c>
      <c r="J13">
        <v>5</v>
      </c>
      <c r="K13">
        <v>2.5</v>
      </c>
      <c r="L13">
        <v>5</v>
      </c>
      <c r="M13" t="s">
        <v>45</v>
      </c>
    </row>
    <row r="14" spans="1:13" ht="15.75" customHeight="1" x14ac:dyDescent="0.25">
      <c r="A14" t="s">
        <v>36</v>
      </c>
      <c r="B14" t="s">
        <v>13</v>
      </c>
      <c r="C14">
        <v>250</v>
      </c>
      <c r="D14">
        <v>3300</v>
      </c>
      <c r="E14" t="s">
        <v>14</v>
      </c>
      <c r="F14">
        <v>96</v>
      </c>
      <c r="G14">
        <v>80</v>
      </c>
      <c r="H14">
        <v>6</v>
      </c>
      <c r="I14" t="s">
        <v>37</v>
      </c>
      <c r="J14">
        <v>5</v>
      </c>
      <c r="K14">
        <v>2.5</v>
      </c>
      <c r="L14">
        <v>5</v>
      </c>
      <c r="M14" t="s">
        <v>46</v>
      </c>
    </row>
    <row r="15" spans="1:13" x14ac:dyDescent="0.25">
      <c r="A15" t="s">
        <v>38</v>
      </c>
      <c r="B15" t="s">
        <v>22</v>
      </c>
      <c r="C15">
        <v>1500</v>
      </c>
      <c r="D15">
        <v>2800</v>
      </c>
      <c r="E15" t="s">
        <v>19</v>
      </c>
      <c r="F15">
        <v>128</v>
      </c>
      <c r="G15">
        <v>80</v>
      </c>
      <c r="H15">
        <v>7</v>
      </c>
      <c r="I15" t="s">
        <v>37</v>
      </c>
      <c r="J15">
        <v>9</v>
      </c>
      <c r="K15">
        <v>2</v>
      </c>
      <c r="L15">
        <v>5</v>
      </c>
      <c r="M15" t="s">
        <v>46</v>
      </c>
    </row>
    <row r="16" spans="1:13" x14ac:dyDescent="0.25">
      <c r="A16" t="s">
        <v>39</v>
      </c>
      <c r="B16" t="s">
        <v>22</v>
      </c>
      <c r="C16">
        <v>1600</v>
      </c>
      <c r="D16">
        <v>2500</v>
      </c>
      <c r="E16" t="s">
        <v>23</v>
      </c>
      <c r="F16">
        <v>160</v>
      </c>
      <c r="G16">
        <v>80</v>
      </c>
      <c r="H16">
        <v>4</v>
      </c>
      <c r="I16" t="s">
        <v>40</v>
      </c>
      <c r="J16">
        <v>20</v>
      </c>
      <c r="K16">
        <v>2</v>
      </c>
      <c r="L16">
        <v>5</v>
      </c>
      <c r="M16" t="s">
        <v>46</v>
      </c>
    </row>
    <row r="17" spans="1:13" x14ac:dyDescent="0.25">
      <c r="A17" t="s">
        <v>41</v>
      </c>
      <c r="B17" t="s">
        <v>22</v>
      </c>
      <c r="C17">
        <v>2500</v>
      </c>
      <c r="D17">
        <v>3600</v>
      </c>
      <c r="E17" t="s">
        <v>30</v>
      </c>
      <c r="F17">
        <v>80</v>
      </c>
      <c r="G17" t="s">
        <v>42</v>
      </c>
      <c r="H17">
        <v>18</v>
      </c>
      <c r="I17" t="s">
        <v>43</v>
      </c>
      <c r="J17">
        <v>0</v>
      </c>
      <c r="K17">
        <v>1.5</v>
      </c>
      <c r="L17">
        <v>5</v>
      </c>
      <c r="M17" t="s">
        <v>46</v>
      </c>
    </row>
    <row r="18" spans="1:13" x14ac:dyDescent="0.25">
      <c r="A18" t="s">
        <v>47</v>
      </c>
      <c r="B18" t="s">
        <v>48</v>
      </c>
      <c r="C18">
        <v>950</v>
      </c>
      <c r="D18">
        <v>1200</v>
      </c>
      <c r="E18" t="s">
        <v>49</v>
      </c>
      <c r="F18" t="s">
        <v>50</v>
      </c>
      <c r="G18" t="s">
        <v>51</v>
      </c>
      <c r="H18">
        <v>8</v>
      </c>
      <c r="I18" t="s">
        <v>52</v>
      </c>
      <c r="J18">
        <v>20</v>
      </c>
      <c r="K18">
        <v>10</v>
      </c>
      <c r="L18">
        <v>35</v>
      </c>
      <c r="M18" t="s">
        <v>65</v>
      </c>
    </row>
    <row r="19" spans="1:13" x14ac:dyDescent="0.25">
      <c r="A19" t="s">
        <v>53</v>
      </c>
      <c r="B19" t="s">
        <v>22</v>
      </c>
      <c r="C19">
        <v>750</v>
      </c>
      <c r="D19">
        <v>2400</v>
      </c>
      <c r="E19" t="s">
        <v>49</v>
      </c>
      <c r="F19" t="s">
        <v>54</v>
      </c>
      <c r="G19">
        <v>80</v>
      </c>
      <c r="H19">
        <v>6</v>
      </c>
      <c r="I19" t="s">
        <v>55</v>
      </c>
      <c r="J19">
        <v>15</v>
      </c>
      <c r="K19">
        <v>5</v>
      </c>
      <c r="L19">
        <v>16</v>
      </c>
      <c r="M19" t="s">
        <v>65</v>
      </c>
    </row>
    <row r="20" spans="1:13" x14ac:dyDescent="0.25">
      <c r="A20" t="s">
        <v>56</v>
      </c>
      <c r="B20" t="s">
        <v>22</v>
      </c>
      <c r="C20">
        <v>300</v>
      </c>
      <c r="D20">
        <v>1800</v>
      </c>
      <c r="E20" t="s">
        <v>49</v>
      </c>
      <c r="F20" t="s">
        <v>57</v>
      </c>
      <c r="G20">
        <v>45</v>
      </c>
      <c r="H20">
        <v>3</v>
      </c>
      <c r="I20" t="s">
        <v>58</v>
      </c>
      <c r="J20">
        <v>30</v>
      </c>
      <c r="K20">
        <v>10</v>
      </c>
      <c r="L20">
        <v>8</v>
      </c>
      <c r="M20" t="s">
        <v>65</v>
      </c>
    </row>
    <row r="21" spans="1:13" x14ac:dyDescent="0.25">
      <c r="A21" t="s">
        <v>59</v>
      </c>
      <c r="B21" t="s">
        <v>48</v>
      </c>
      <c r="C21">
        <v>1500</v>
      </c>
      <c r="D21">
        <v>1800</v>
      </c>
      <c r="E21" t="s">
        <v>30</v>
      </c>
      <c r="F21" t="s">
        <v>60</v>
      </c>
      <c r="G21">
        <v>45</v>
      </c>
      <c r="H21">
        <v>6</v>
      </c>
      <c r="I21" t="s">
        <v>58</v>
      </c>
      <c r="J21">
        <v>0</v>
      </c>
      <c r="K21">
        <v>4</v>
      </c>
      <c r="L21">
        <v>16</v>
      </c>
      <c r="M21" t="s">
        <v>65</v>
      </c>
    </row>
    <row r="22" spans="1:13" x14ac:dyDescent="0.25">
      <c r="A22" t="s">
        <v>61</v>
      </c>
      <c r="B22" t="s">
        <v>48</v>
      </c>
      <c r="C22">
        <v>600</v>
      </c>
      <c r="D22">
        <v>2500</v>
      </c>
      <c r="E22" t="s">
        <v>49</v>
      </c>
      <c r="F22" t="s">
        <v>54</v>
      </c>
      <c r="G22">
        <v>500</v>
      </c>
      <c r="H22">
        <v>2</v>
      </c>
      <c r="I22" t="s">
        <v>58</v>
      </c>
      <c r="J22">
        <v>10</v>
      </c>
      <c r="K22">
        <v>4</v>
      </c>
      <c r="L22">
        <v>16</v>
      </c>
      <c r="M22" t="s">
        <v>65</v>
      </c>
    </row>
    <row r="23" spans="1:13" x14ac:dyDescent="0.25">
      <c r="A23" t="s">
        <v>62</v>
      </c>
      <c r="B23" t="s">
        <v>22</v>
      </c>
      <c r="C23">
        <v>1750</v>
      </c>
      <c r="D23">
        <v>2100</v>
      </c>
      <c r="E23" t="s">
        <v>49</v>
      </c>
      <c r="F23" t="s">
        <v>54</v>
      </c>
      <c r="G23">
        <v>470</v>
      </c>
      <c r="H23">
        <v>10</v>
      </c>
      <c r="I23" t="s">
        <v>63</v>
      </c>
      <c r="J23">
        <v>17</v>
      </c>
      <c r="K23">
        <v>7</v>
      </c>
      <c r="L23">
        <v>8</v>
      </c>
      <c r="M23" t="s">
        <v>65</v>
      </c>
    </row>
    <row r="24" spans="1:13" x14ac:dyDescent="0.25">
      <c r="A24" t="s">
        <v>64</v>
      </c>
      <c r="B24" t="s">
        <v>22</v>
      </c>
      <c r="C24">
        <v>4000</v>
      </c>
      <c r="D24">
        <v>2200</v>
      </c>
      <c r="E24" t="s">
        <v>49</v>
      </c>
      <c r="F24" t="s">
        <v>54</v>
      </c>
      <c r="G24">
        <v>350</v>
      </c>
      <c r="H24">
        <v>6</v>
      </c>
      <c r="I24" t="s">
        <v>15</v>
      </c>
      <c r="J24">
        <v>17</v>
      </c>
      <c r="K24">
        <v>3.5</v>
      </c>
      <c r="L24">
        <v>16</v>
      </c>
      <c r="M24" t="s">
        <v>65</v>
      </c>
    </row>
    <row r="25" spans="1:13" x14ac:dyDescent="0.25">
      <c r="A25" t="s">
        <v>66</v>
      </c>
      <c r="B25" t="s">
        <v>13</v>
      </c>
      <c r="C25">
        <v>250</v>
      </c>
      <c r="D25">
        <v>3300</v>
      </c>
      <c r="E25" t="s">
        <v>14</v>
      </c>
      <c r="F25">
        <v>60</v>
      </c>
      <c r="G25">
        <v>350</v>
      </c>
      <c r="H25">
        <v>20</v>
      </c>
      <c r="I25" t="s">
        <v>63</v>
      </c>
      <c r="J25">
        <v>2</v>
      </c>
      <c r="K25">
        <v>3</v>
      </c>
      <c r="L25">
        <v>8</v>
      </c>
      <c r="M25" t="s">
        <v>76</v>
      </c>
    </row>
    <row r="26" spans="1:13" x14ac:dyDescent="0.25">
      <c r="A26" t="s">
        <v>67</v>
      </c>
      <c r="B26" t="s">
        <v>22</v>
      </c>
      <c r="C26">
        <v>1500</v>
      </c>
      <c r="D26">
        <v>3900</v>
      </c>
      <c r="E26" t="s">
        <v>14</v>
      </c>
      <c r="F26">
        <v>60</v>
      </c>
      <c r="G26">
        <v>800</v>
      </c>
      <c r="H26">
        <v>30</v>
      </c>
      <c r="I26" t="s">
        <v>63</v>
      </c>
      <c r="J26">
        <v>2</v>
      </c>
      <c r="K26">
        <v>2.5</v>
      </c>
      <c r="L26">
        <v>8</v>
      </c>
      <c r="M26" t="s">
        <v>76</v>
      </c>
    </row>
    <row r="27" spans="1:13" x14ac:dyDescent="0.25">
      <c r="A27" t="s">
        <v>68</v>
      </c>
      <c r="B27" t="s">
        <v>13</v>
      </c>
      <c r="C27">
        <v>455</v>
      </c>
      <c r="D27">
        <v>3900</v>
      </c>
      <c r="E27" t="s">
        <v>14</v>
      </c>
      <c r="F27">
        <v>60</v>
      </c>
      <c r="G27">
        <v>1500</v>
      </c>
      <c r="H27">
        <v>40</v>
      </c>
      <c r="I27" t="s">
        <v>63</v>
      </c>
      <c r="J27">
        <v>3</v>
      </c>
      <c r="K27">
        <v>5</v>
      </c>
      <c r="L27">
        <v>8</v>
      </c>
      <c r="M27" t="s">
        <v>76</v>
      </c>
    </row>
    <row r="28" spans="1:13" x14ac:dyDescent="0.25">
      <c r="A28" t="s">
        <v>69</v>
      </c>
      <c r="B28" t="s">
        <v>22</v>
      </c>
      <c r="C28">
        <v>4500</v>
      </c>
      <c r="D28">
        <v>2000</v>
      </c>
      <c r="E28" t="s">
        <v>70</v>
      </c>
      <c r="F28">
        <v>300</v>
      </c>
      <c r="G28">
        <v>580</v>
      </c>
      <c r="H28">
        <v>20</v>
      </c>
      <c r="I28" t="s">
        <v>71</v>
      </c>
      <c r="J28">
        <v>12</v>
      </c>
      <c r="K28">
        <v>2</v>
      </c>
      <c r="L28">
        <v>16</v>
      </c>
      <c r="M28" t="s">
        <v>76</v>
      </c>
    </row>
    <row r="29" spans="1:13" x14ac:dyDescent="0.25">
      <c r="A29" t="s">
        <v>72</v>
      </c>
      <c r="B29" t="s">
        <v>22</v>
      </c>
      <c r="C29">
        <v>700</v>
      </c>
      <c r="D29">
        <v>3000</v>
      </c>
      <c r="E29" t="s">
        <v>14</v>
      </c>
      <c r="F29">
        <v>66</v>
      </c>
      <c r="G29">
        <v>800</v>
      </c>
      <c r="H29">
        <v>30</v>
      </c>
      <c r="I29" t="s">
        <v>33</v>
      </c>
      <c r="J29">
        <v>1</v>
      </c>
      <c r="K29">
        <v>2.5</v>
      </c>
      <c r="L29">
        <v>8</v>
      </c>
      <c r="M29" t="s">
        <v>76</v>
      </c>
    </row>
    <row r="30" spans="1:13" x14ac:dyDescent="0.25">
      <c r="A30" t="s">
        <v>73</v>
      </c>
      <c r="B30" t="s">
        <v>22</v>
      </c>
      <c r="C30">
        <v>1600</v>
      </c>
      <c r="D30">
        <v>3600</v>
      </c>
      <c r="E30" t="s">
        <v>19</v>
      </c>
      <c r="F30">
        <v>80</v>
      </c>
      <c r="G30">
        <v>450</v>
      </c>
      <c r="H30">
        <v>15</v>
      </c>
      <c r="I30" t="s">
        <v>15</v>
      </c>
      <c r="J30">
        <v>2.5</v>
      </c>
      <c r="K30">
        <v>2</v>
      </c>
      <c r="L30">
        <v>8</v>
      </c>
      <c r="M30" t="s">
        <v>76</v>
      </c>
    </row>
    <row r="31" spans="1:13" x14ac:dyDescent="0.25">
      <c r="A31" t="s">
        <v>74</v>
      </c>
      <c r="B31" t="s">
        <v>13</v>
      </c>
      <c r="C31">
        <v>2400</v>
      </c>
      <c r="D31">
        <v>3000</v>
      </c>
      <c r="E31" t="s">
        <v>14</v>
      </c>
      <c r="F31">
        <v>72</v>
      </c>
      <c r="G31">
        <v>600</v>
      </c>
      <c r="H31">
        <v>24</v>
      </c>
      <c r="I31" t="s">
        <v>63</v>
      </c>
      <c r="J31">
        <v>2</v>
      </c>
      <c r="K31">
        <v>2.5</v>
      </c>
      <c r="L31">
        <v>8</v>
      </c>
      <c r="M31" t="s">
        <v>76</v>
      </c>
    </row>
    <row r="32" spans="1:13" x14ac:dyDescent="0.25">
      <c r="A32" t="s">
        <v>75</v>
      </c>
      <c r="B32" t="s">
        <v>13</v>
      </c>
      <c r="C32">
        <v>3250</v>
      </c>
      <c r="D32">
        <v>4700</v>
      </c>
      <c r="E32" t="s">
        <v>14</v>
      </c>
      <c r="F32">
        <v>60</v>
      </c>
      <c r="G32">
        <v>950</v>
      </c>
      <c r="H32">
        <v>40</v>
      </c>
      <c r="I32" t="s">
        <v>63</v>
      </c>
      <c r="J32">
        <v>2.5</v>
      </c>
      <c r="K32">
        <v>3.5</v>
      </c>
      <c r="L32">
        <v>8</v>
      </c>
      <c r="M32" t="s">
        <v>76</v>
      </c>
    </row>
    <row r="33" spans="1:13" x14ac:dyDescent="0.25">
      <c r="A33" t="s">
        <v>77</v>
      </c>
      <c r="B33" t="s">
        <v>22</v>
      </c>
      <c r="C33">
        <v>2000</v>
      </c>
      <c r="D33">
        <v>3200</v>
      </c>
      <c r="E33" t="s">
        <v>19</v>
      </c>
      <c r="F33">
        <v>96</v>
      </c>
      <c r="G33">
        <v>666</v>
      </c>
      <c r="H33">
        <v>30</v>
      </c>
      <c r="I33" t="s">
        <v>78</v>
      </c>
      <c r="J33">
        <v>3</v>
      </c>
      <c r="K33">
        <v>2.5</v>
      </c>
      <c r="L33">
        <v>16</v>
      </c>
      <c r="M33" t="s">
        <v>86</v>
      </c>
    </row>
    <row r="34" spans="1:13" x14ac:dyDescent="0.25">
      <c r="A34" t="s">
        <v>79</v>
      </c>
      <c r="B34" t="s">
        <v>22</v>
      </c>
      <c r="C34">
        <v>4000</v>
      </c>
      <c r="D34">
        <v>3300</v>
      </c>
      <c r="E34" t="s">
        <v>30</v>
      </c>
      <c r="F34">
        <v>60</v>
      </c>
      <c r="G34">
        <v>893</v>
      </c>
      <c r="H34">
        <v>30</v>
      </c>
      <c r="I34" t="s">
        <v>78</v>
      </c>
      <c r="J34">
        <v>0</v>
      </c>
      <c r="K34">
        <v>2.5</v>
      </c>
      <c r="L34">
        <v>8</v>
      </c>
      <c r="M34" t="s">
        <v>86</v>
      </c>
    </row>
    <row r="35" spans="1:13" x14ac:dyDescent="0.25">
      <c r="A35" t="s">
        <v>80</v>
      </c>
      <c r="B35" t="s">
        <v>81</v>
      </c>
      <c r="C35">
        <v>2500</v>
      </c>
      <c r="D35">
        <v>2700</v>
      </c>
      <c r="E35" t="s">
        <v>23</v>
      </c>
      <c r="F35">
        <v>120</v>
      </c>
      <c r="G35">
        <v>575</v>
      </c>
      <c r="H35">
        <v>20</v>
      </c>
      <c r="I35" t="s">
        <v>78</v>
      </c>
      <c r="J35">
        <v>4</v>
      </c>
      <c r="K35">
        <v>1.5</v>
      </c>
      <c r="L35">
        <v>16</v>
      </c>
      <c r="M35" t="s">
        <v>86</v>
      </c>
    </row>
    <row r="36" spans="1:13" x14ac:dyDescent="0.25">
      <c r="A36" t="s">
        <v>82</v>
      </c>
      <c r="B36" t="s">
        <v>81</v>
      </c>
      <c r="C36">
        <v>3850</v>
      </c>
      <c r="D36">
        <v>3000</v>
      </c>
      <c r="E36" t="s">
        <v>19</v>
      </c>
      <c r="F36">
        <v>96</v>
      </c>
      <c r="G36">
        <v>740</v>
      </c>
      <c r="H36">
        <v>30</v>
      </c>
      <c r="I36" t="s">
        <v>78</v>
      </c>
      <c r="J36">
        <v>2</v>
      </c>
      <c r="K36">
        <v>2</v>
      </c>
      <c r="L36">
        <v>16</v>
      </c>
      <c r="M36" t="s">
        <v>86</v>
      </c>
    </row>
    <row r="37" spans="1:13" x14ac:dyDescent="0.25">
      <c r="A37" t="s">
        <v>83</v>
      </c>
      <c r="B37" t="s">
        <v>81</v>
      </c>
      <c r="C37">
        <v>3000</v>
      </c>
      <c r="D37">
        <v>3300</v>
      </c>
      <c r="E37" t="s">
        <v>23</v>
      </c>
      <c r="F37">
        <v>120</v>
      </c>
      <c r="G37">
        <v>500</v>
      </c>
      <c r="H37">
        <v>18</v>
      </c>
      <c r="I37" t="s">
        <v>78</v>
      </c>
      <c r="J37">
        <v>5</v>
      </c>
      <c r="K37">
        <v>1.5</v>
      </c>
      <c r="L37">
        <v>16</v>
      </c>
      <c r="M37" t="s">
        <v>86</v>
      </c>
    </row>
    <row r="38" spans="1:13" x14ac:dyDescent="0.25">
      <c r="A38" t="s">
        <v>84</v>
      </c>
      <c r="B38" t="s">
        <v>81</v>
      </c>
      <c r="C38">
        <v>3000</v>
      </c>
      <c r="D38">
        <v>4700</v>
      </c>
      <c r="E38" t="s">
        <v>14</v>
      </c>
      <c r="F38">
        <v>72</v>
      </c>
      <c r="G38">
        <v>900</v>
      </c>
      <c r="H38">
        <v>42</v>
      </c>
      <c r="I38" t="s">
        <v>85</v>
      </c>
      <c r="J38">
        <v>1.5</v>
      </c>
      <c r="K38">
        <v>2</v>
      </c>
      <c r="L38">
        <v>16</v>
      </c>
      <c r="M38" t="s">
        <v>86</v>
      </c>
    </row>
    <row r="39" spans="1:13" x14ac:dyDescent="0.25">
      <c r="A39" t="s">
        <v>87</v>
      </c>
      <c r="B39" t="s">
        <v>48</v>
      </c>
      <c r="C39">
        <v>4000</v>
      </c>
      <c r="D39">
        <v>3400</v>
      </c>
      <c r="E39" t="s">
        <v>23</v>
      </c>
      <c r="F39">
        <v>100</v>
      </c>
      <c r="G39">
        <v>800</v>
      </c>
      <c r="H39">
        <v>100</v>
      </c>
      <c r="I39" t="s">
        <v>63</v>
      </c>
      <c r="J39">
        <v>2</v>
      </c>
      <c r="K39">
        <v>4</v>
      </c>
      <c r="L39">
        <v>35</v>
      </c>
      <c r="M39" t="s">
        <v>95</v>
      </c>
    </row>
    <row r="40" spans="1:13" x14ac:dyDescent="0.25">
      <c r="A40" t="s">
        <v>88</v>
      </c>
      <c r="B40" t="s">
        <v>48</v>
      </c>
      <c r="C40">
        <v>4000</v>
      </c>
      <c r="D40">
        <v>2500</v>
      </c>
      <c r="E40" t="s">
        <v>23</v>
      </c>
      <c r="F40">
        <v>100</v>
      </c>
      <c r="G40">
        <v>1400</v>
      </c>
      <c r="H40">
        <v>40</v>
      </c>
      <c r="I40" t="s">
        <v>63</v>
      </c>
      <c r="J40">
        <v>2</v>
      </c>
      <c r="K40">
        <v>4</v>
      </c>
      <c r="L40">
        <v>16</v>
      </c>
      <c r="M40" t="s">
        <v>95</v>
      </c>
    </row>
    <row r="41" spans="1:13" x14ac:dyDescent="0.25">
      <c r="A41" t="s">
        <v>89</v>
      </c>
      <c r="B41" t="s">
        <v>48</v>
      </c>
      <c r="C41">
        <v>2500</v>
      </c>
      <c r="D41">
        <v>4200</v>
      </c>
      <c r="E41" t="s">
        <v>90</v>
      </c>
      <c r="F41">
        <v>50</v>
      </c>
      <c r="G41" t="s">
        <v>91</v>
      </c>
      <c r="H41">
        <v>100</v>
      </c>
      <c r="I41" t="s">
        <v>63</v>
      </c>
      <c r="J41">
        <v>0</v>
      </c>
      <c r="K41" t="s">
        <v>92</v>
      </c>
      <c r="L41">
        <v>25</v>
      </c>
      <c r="M41" t="s">
        <v>95</v>
      </c>
    </row>
    <row r="42" spans="1:13" x14ac:dyDescent="0.25">
      <c r="A42" t="s">
        <v>93</v>
      </c>
      <c r="B42" t="s">
        <v>48</v>
      </c>
      <c r="C42">
        <v>3500</v>
      </c>
      <c r="D42">
        <v>3500</v>
      </c>
      <c r="E42" t="s">
        <v>19</v>
      </c>
      <c r="F42">
        <v>80</v>
      </c>
      <c r="G42">
        <v>600</v>
      </c>
      <c r="H42">
        <v>55</v>
      </c>
      <c r="I42" t="s">
        <v>63</v>
      </c>
      <c r="J42">
        <v>3</v>
      </c>
      <c r="K42">
        <v>2.5</v>
      </c>
      <c r="L42">
        <v>16</v>
      </c>
      <c r="M42" t="s">
        <v>95</v>
      </c>
    </row>
    <row r="43" spans="1:13" x14ac:dyDescent="0.25">
      <c r="A43" t="s">
        <v>94</v>
      </c>
      <c r="B43" t="s">
        <v>48</v>
      </c>
      <c r="C43">
        <v>1750</v>
      </c>
      <c r="D43">
        <v>3200</v>
      </c>
      <c r="E43" t="s">
        <v>23</v>
      </c>
      <c r="F43">
        <v>120</v>
      </c>
      <c r="G43">
        <v>400</v>
      </c>
      <c r="H43">
        <v>20</v>
      </c>
      <c r="I43" t="s">
        <v>63</v>
      </c>
      <c r="J43">
        <v>3</v>
      </c>
      <c r="K43">
        <v>3</v>
      </c>
      <c r="L43">
        <v>35</v>
      </c>
      <c r="M43" t="s">
        <v>95</v>
      </c>
    </row>
    <row r="44" spans="1:13" x14ac:dyDescent="0.25">
      <c r="A44" t="s">
        <v>96</v>
      </c>
      <c r="B44" t="s">
        <v>81</v>
      </c>
      <c r="C44">
        <v>750</v>
      </c>
      <c r="D44">
        <v>3000</v>
      </c>
      <c r="E44" t="s">
        <v>14</v>
      </c>
      <c r="F44">
        <v>120</v>
      </c>
      <c r="G44">
        <v>480</v>
      </c>
      <c r="H44">
        <v>1</v>
      </c>
      <c r="I44" t="s">
        <v>97</v>
      </c>
      <c r="J44">
        <v>3</v>
      </c>
      <c r="K44">
        <v>2</v>
      </c>
      <c r="L44">
        <v>5</v>
      </c>
      <c r="M44" t="s">
        <v>102</v>
      </c>
    </row>
    <row r="45" spans="1:13" x14ac:dyDescent="0.25">
      <c r="A45" t="s">
        <v>98</v>
      </c>
      <c r="B45" t="s">
        <v>48</v>
      </c>
      <c r="C45">
        <v>2500</v>
      </c>
      <c r="D45">
        <v>2200</v>
      </c>
      <c r="E45" t="s">
        <v>23</v>
      </c>
      <c r="F45">
        <v>200</v>
      </c>
      <c r="G45">
        <v>350</v>
      </c>
      <c r="H45">
        <v>6</v>
      </c>
      <c r="I45" t="s">
        <v>99</v>
      </c>
      <c r="J45">
        <v>5</v>
      </c>
      <c r="K45">
        <v>1</v>
      </c>
      <c r="L45">
        <v>16</v>
      </c>
      <c r="M45" t="s">
        <v>102</v>
      </c>
    </row>
    <row r="46" spans="1:13" x14ac:dyDescent="0.25">
      <c r="A46" t="s">
        <v>100</v>
      </c>
      <c r="B46" t="s">
        <v>81</v>
      </c>
      <c r="C46">
        <v>1750</v>
      </c>
      <c r="D46">
        <v>2800</v>
      </c>
      <c r="E46" t="s">
        <v>19</v>
      </c>
      <c r="F46">
        <v>160</v>
      </c>
      <c r="G46">
        <v>80</v>
      </c>
      <c r="H46">
        <v>8</v>
      </c>
      <c r="I46" t="s">
        <v>37</v>
      </c>
      <c r="J46">
        <v>10</v>
      </c>
      <c r="K46">
        <v>2</v>
      </c>
      <c r="L46">
        <v>8</v>
      </c>
      <c r="M46" t="s">
        <v>102</v>
      </c>
    </row>
    <row r="47" spans="1:13" x14ac:dyDescent="0.25">
      <c r="A47" t="s">
        <v>101</v>
      </c>
      <c r="B47" t="s">
        <v>13</v>
      </c>
      <c r="C47">
        <v>2750</v>
      </c>
      <c r="D47">
        <v>2000</v>
      </c>
      <c r="E47" t="s">
        <v>19</v>
      </c>
      <c r="F47">
        <v>176</v>
      </c>
      <c r="G47">
        <v>450</v>
      </c>
      <c r="H47">
        <v>8</v>
      </c>
      <c r="I47" t="s">
        <v>99</v>
      </c>
      <c r="J47">
        <v>2.5</v>
      </c>
      <c r="K47">
        <v>2</v>
      </c>
      <c r="L47">
        <v>16</v>
      </c>
      <c r="M47" t="s">
        <v>102</v>
      </c>
    </row>
    <row r="48" spans="1:13" x14ac:dyDescent="0.25">
      <c r="A48" t="s">
        <v>103</v>
      </c>
      <c r="B48" t="s">
        <v>48</v>
      </c>
      <c r="C48">
        <v>3500</v>
      </c>
      <c r="D48">
        <v>3500</v>
      </c>
      <c r="E48" t="s">
        <v>23</v>
      </c>
      <c r="F48">
        <v>200</v>
      </c>
      <c r="G48">
        <v>480</v>
      </c>
      <c r="H48">
        <v>5</v>
      </c>
      <c r="I48" t="s">
        <v>104</v>
      </c>
      <c r="J48">
        <v>5</v>
      </c>
      <c r="K48">
        <v>1</v>
      </c>
      <c r="L48">
        <v>25</v>
      </c>
      <c r="M48" t="s">
        <v>115</v>
      </c>
    </row>
    <row r="49" spans="1:13" x14ac:dyDescent="0.25">
      <c r="A49" t="s">
        <v>105</v>
      </c>
      <c r="B49" t="s">
        <v>106</v>
      </c>
      <c r="C49">
        <v>1600</v>
      </c>
      <c r="D49">
        <v>1000</v>
      </c>
      <c r="E49" t="s">
        <v>70</v>
      </c>
      <c r="F49">
        <v>500</v>
      </c>
      <c r="G49">
        <v>100</v>
      </c>
      <c r="H49">
        <v>5</v>
      </c>
      <c r="I49" t="s">
        <v>107</v>
      </c>
      <c r="J49">
        <v>8</v>
      </c>
      <c r="K49">
        <v>1.5</v>
      </c>
      <c r="L49">
        <v>16</v>
      </c>
      <c r="M49" t="s">
        <v>115</v>
      </c>
    </row>
    <row r="50" spans="1:13" x14ac:dyDescent="0.25">
      <c r="A50" t="s">
        <v>108</v>
      </c>
      <c r="B50" t="s">
        <v>106</v>
      </c>
      <c r="C50">
        <v>1600</v>
      </c>
      <c r="D50">
        <v>4000</v>
      </c>
      <c r="E50" t="s">
        <v>109</v>
      </c>
      <c r="F50">
        <v>500</v>
      </c>
      <c r="G50">
        <v>100</v>
      </c>
      <c r="H50">
        <v>1</v>
      </c>
      <c r="I50" t="s">
        <v>110</v>
      </c>
      <c r="J50">
        <v>0</v>
      </c>
      <c r="K50">
        <v>1.5</v>
      </c>
      <c r="L50">
        <v>16</v>
      </c>
      <c r="M50" t="s">
        <v>115</v>
      </c>
    </row>
    <row r="51" spans="1:13" x14ac:dyDescent="0.25">
      <c r="A51" t="s">
        <v>111</v>
      </c>
      <c r="B51" t="s">
        <v>48</v>
      </c>
      <c r="C51">
        <v>1600</v>
      </c>
      <c r="D51">
        <v>2200</v>
      </c>
      <c r="E51" t="s">
        <v>23</v>
      </c>
      <c r="F51">
        <v>400</v>
      </c>
      <c r="G51">
        <v>100</v>
      </c>
      <c r="H51">
        <v>8</v>
      </c>
      <c r="I51" t="s">
        <v>112</v>
      </c>
      <c r="J51">
        <v>20</v>
      </c>
      <c r="K51">
        <v>1</v>
      </c>
      <c r="L51">
        <v>16</v>
      </c>
      <c r="M51" t="s">
        <v>115</v>
      </c>
    </row>
    <row r="52" spans="1:13" x14ac:dyDescent="0.25">
      <c r="A52" t="s">
        <v>113</v>
      </c>
      <c r="B52" t="s">
        <v>114</v>
      </c>
      <c r="C52">
        <v>4500</v>
      </c>
      <c r="D52">
        <v>1200</v>
      </c>
      <c r="E52" t="s">
        <v>70</v>
      </c>
      <c r="F52">
        <v>400</v>
      </c>
      <c r="G52">
        <v>100</v>
      </c>
      <c r="H52">
        <v>6</v>
      </c>
      <c r="I52" t="s">
        <v>15</v>
      </c>
      <c r="J52">
        <v>8</v>
      </c>
      <c r="K52">
        <v>1</v>
      </c>
      <c r="L52">
        <v>25</v>
      </c>
      <c r="M52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C0F48CB2-E434-404C-A14C-84DCA7395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70E250-8B88-4EC0-A466-8DCE6442D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1E6AFA-688B-409E-8105-44484C937783}">
  <ds:schemaRefs>
    <ds:schemaRef ds:uri="http://purl.org/dc/elements/1.1/"/>
    <ds:schemaRef ds:uri="08ceecc5-2daa-47f4-9f70-3b427bddc80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3bd2448e-bc80-4060-9b44-5204c1169a8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2026-05-04T01:21:30Z</dcterms:created>
  <dcterms:modified xsi:type="dcterms:W3CDTF">2026-05-10T06:02:48Z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