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3ECC16CB-91DC-49C8-A0AA-DEADAC1498EB}" xr6:coauthVersionLast="47" xr6:coauthVersionMax="47" xr10:uidLastSave="{00000000-0000-0000-0000-000000000000}"/>
  <bookViews>
    <workbookView xWindow="-98" yWindow="-98" windowWidth="19396" windowHeight="11475" xr2:uid="{C614639F-149A-4A11-9DD4-9EBD3314F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O17" i="1"/>
  <c r="Q17" i="1"/>
  <c r="Q19" i="1" s="1"/>
  <c r="O16" i="1"/>
  <c r="P16" i="1"/>
  <c r="P19" i="1" s="1"/>
  <c r="R19" i="1"/>
  <c r="P9" i="1"/>
  <c r="Q9" i="1"/>
  <c r="R9" i="1"/>
  <c r="O9" i="1"/>
  <c r="P8" i="1"/>
  <c r="Q8" i="1"/>
  <c r="R8" i="1"/>
  <c r="O8" i="1"/>
  <c r="P7" i="1"/>
  <c r="Q7" i="1"/>
  <c r="R7" i="1"/>
  <c r="O7" i="1"/>
  <c r="P6" i="1"/>
  <c r="Q6" i="1"/>
  <c r="R6" i="1"/>
  <c r="O6" i="1"/>
  <c r="O19" i="1" l="1"/>
</calcChain>
</file>

<file path=xl/sharedStrings.xml><?xml version="1.0" encoding="utf-8"?>
<sst xmlns="http://schemas.openxmlformats.org/spreadsheetml/2006/main" count="58" uniqueCount="48">
  <si>
    <t>SSS</t>
  </si>
  <si>
    <t>GSS</t>
  </si>
  <si>
    <t>GGS</t>
  </si>
  <si>
    <t>GGG</t>
  </si>
  <si>
    <t>Salvador</t>
  </si>
  <si>
    <t>Ashley = +50% hp from herbs</t>
  </si>
  <si>
    <t>JJ</t>
  </si>
  <si>
    <t>JJ = 40% off resources at shop</t>
  </si>
  <si>
    <t>Ada = 30% off armor repairs</t>
  </si>
  <si>
    <t>Leon handgun = 30% off knife repairs</t>
  </si>
  <si>
    <t>Bowgun zealot = +20% bolts craft bonus chance</t>
  </si>
  <si>
    <t>Dynamite soldier = +30% mine craft bonus chance</t>
  </si>
  <si>
    <t>emblem = +20% melee crit rate</t>
  </si>
  <si>
    <t>Leon rocket = 20% off rocket launchers</t>
  </si>
  <si>
    <t>Scythe zealot = +20% SMG ammo craft bonus chance</t>
  </si>
  <si>
    <t>Diego = +15% rifle ammo craft bonus chance</t>
  </si>
  <si>
    <t>maria = +15% magnum ammo craft bonus chance</t>
  </si>
  <si>
    <t>Salvador = +20% rifle ammo craft bonus chance</t>
  </si>
  <si>
    <t>Isabel = +30% hp from vipers</t>
  </si>
  <si>
    <t>Jose</t>
  </si>
  <si>
    <t>Jose  = +30% handgun ammo craft bonus chance</t>
  </si>
  <si>
    <t>leader zealot = +10% hp from herbs</t>
  </si>
  <si>
    <t>bass = +100% healing from bass</t>
  </si>
  <si>
    <t>Merchant</t>
  </si>
  <si>
    <t>Shield zealot</t>
  </si>
  <si>
    <t>Shield zealot = +20% shotgun ammo craft bonus chance</t>
  </si>
  <si>
    <t>Pedro</t>
  </si>
  <si>
    <t>Pedro = +40% hp from vipers</t>
  </si>
  <si>
    <t>Hammer soldier</t>
  </si>
  <si>
    <t>Hammer Soldier = +20% hangun ammo craft bonus chance</t>
  </si>
  <si>
    <t>Bella Sisters = +20% magnum ammo craft bonus chance</t>
  </si>
  <si>
    <t>esteban = +15% shotgun ammo craft bonus chance</t>
  </si>
  <si>
    <t>Chicken = +100% healing from eggs</t>
  </si>
  <si>
    <t>Leon Shotgun = +40% ammo sale value</t>
  </si>
  <si>
    <t>Stun Soldier = +15% bolt craft bonus chance</t>
  </si>
  <si>
    <t>salvador</t>
  </si>
  <si>
    <t>scythe zealor</t>
  </si>
  <si>
    <t>shield zealot</t>
  </si>
  <si>
    <t>dynamite soldier</t>
  </si>
  <si>
    <t>diego</t>
  </si>
  <si>
    <t>Emblem</t>
  </si>
  <si>
    <t>Rhino Beetle</t>
  </si>
  <si>
    <t>Bella</t>
  </si>
  <si>
    <t>Rhino Beetle = +100% healing item sale value</t>
  </si>
  <si>
    <t>S</t>
  </si>
  <si>
    <t>G</t>
  </si>
  <si>
    <t>SSSSSG</t>
  </si>
  <si>
    <t>2GGG3GGS6GSS15SSS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</si>
</sst>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1" xfId="3"/>
  </cellXfs>
  <cellStyles count="4">
    <cellStyle name="Bad" xfId="1" builtinId="27"/>
    <cellStyle name="Check Cell" xfId="3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CC86-92CA-4540-AA06-43D5EABBBDDC}">
  <dimension ref="B1:R26"/>
  <sheetViews>
    <sheetView tabSelected="1" topLeftCell="L1" zoomScale="124" workbookViewId="0">
      <selection activeCell="N9" sqref="N9"/>
    </sheetView>
  </sheetViews>
  <sheetFormatPr defaultRowHeight="14.25" x14ac:dyDescent="0.45"/>
  <cols>
    <col min="2" max="2" width="16" bestFit="1" customWidth="1"/>
    <col min="3" max="3" width="15.265625" bestFit="1" customWidth="1"/>
    <col min="4" max="4" width="15.1328125" bestFit="1" customWidth="1"/>
    <col min="5" max="5" width="15.265625" bestFit="1" customWidth="1"/>
    <col min="12" max="12" width="53.59765625" bestFit="1" customWidth="1"/>
    <col min="14" max="14" width="20" bestFit="1" customWidth="1"/>
  </cols>
  <sheetData>
    <row r="1" spans="2:18" ht="14.65" thickBot="1" x14ac:dyDescent="0.5">
      <c r="B1" t="s">
        <v>0</v>
      </c>
      <c r="C1" t="s">
        <v>1</v>
      </c>
      <c r="D1" t="s">
        <v>2</v>
      </c>
      <c r="E1" t="s">
        <v>3</v>
      </c>
      <c r="O1">
        <v>0</v>
      </c>
      <c r="P1">
        <v>1</v>
      </c>
      <c r="Q1">
        <v>2</v>
      </c>
      <c r="R1">
        <v>3</v>
      </c>
    </row>
    <row r="2" spans="2:18" ht="15" thickTop="1" thickBot="1" x14ac:dyDescent="0.5">
      <c r="B2" s="3" t="s">
        <v>26</v>
      </c>
      <c r="C2" t="s">
        <v>39</v>
      </c>
      <c r="D2" t="s">
        <v>24</v>
      </c>
      <c r="E2" t="s">
        <v>4</v>
      </c>
      <c r="L2" t="s">
        <v>16</v>
      </c>
      <c r="N2" t="s">
        <v>0</v>
      </c>
      <c r="O2">
        <v>0.75</v>
      </c>
      <c r="P2">
        <v>0.18</v>
      </c>
      <c r="Q2">
        <v>0.06</v>
      </c>
      <c r="R2">
        <v>0.01</v>
      </c>
    </row>
    <row r="3" spans="2:18" ht="14.65" thickTop="1" x14ac:dyDescent="0.45">
      <c r="B3" t="s">
        <v>35</v>
      </c>
      <c r="C3" s="2" t="s">
        <v>6</v>
      </c>
      <c r="D3" s="1" t="s">
        <v>41</v>
      </c>
      <c r="E3" s="1" t="s">
        <v>23</v>
      </c>
      <c r="L3" t="s">
        <v>17</v>
      </c>
      <c r="N3" t="s">
        <v>1</v>
      </c>
      <c r="O3">
        <v>0.65</v>
      </c>
      <c r="P3">
        <v>0.23</v>
      </c>
      <c r="Q3">
        <v>0.1</v>
      </c>
      <c r="R3">
        <v>0.02</v>
      </c>
    </row>
    <row r="4" spans="2:18" x14ac:dyDescent="0.45">
      <c r="B4" t="s">
        <v>36</v>
      </c>
      <c r="C4" s="1" t="s">
        <v>40</v>
      </c>
      <c r="D4" t="s">
        <v>42</v>
      </c>
      <c r="L4" t="s">
        <v>5</v>
      </c>
      <c r="N4" t="s">
        <v>2</v>
      </c>
      <c r="O4">
        <v>0.53</v>
      </c>
      <c r="P4">
        <v>0.3</v>
      </c>
      <c r="Q4">
        <v>0.14000000000000001</v>
      </c>
      <c r="R4">
        <v>0.03</v>
      </c>
    </row>
    <row r="5" spans="2:18" x14ac:dyDescent="0.45">
      <c r="B5" t="s">
        <v>37</v>
      </c>
      <c r="C5" t="s">
        <v>38</v>
      </c>
      <c r="L5" t="s">
        <v>7</v>
      </c>
      <c r="N5" t="s">
        <v>3</v>
      </c>
      <c r="O5">
        <v>0.38</v>
      </c>
      <c r="P5">
        <v>0.38</v>
      </c>
      <c r="Q5">
        <v>0.19</v>
      </c>
      <c r="R5">
        <v>0.05</v>
      </c>
    </row>
    <row r="6" spans="2:18" x14ac:dyDescent="0.45">
      <c r="B6" t="s">
        <v>38</v>
      </c>
      <c r="C6" t="s">
        <v>19</v>
      </c>
      <c r="L6" t="s">
        <v>8</v>
      </c>
      <c r="N6" t="s">
        <v>44</v>
      </c>
      <c r="O6">
        <f>O2/3</f>
        <v>0.25</v>
      </c>
      <c r="P6">
        <f t="shared" ref="P6:R6" si="0">P2/3</f>
        <v>0.06</v>
      </c>
      <c r="Q6">
        <f t="shared" si="0"/>
        <v>0.02</v>
      </c>
      <c r="R6">
        <f t="shared" si="0"/>
        <v>3.3333333333333335E-3</v>
      </c>
    </row>
    <row r="7" spans="2:18" x14ac:dyDescent="0.45">
      <c r="C7" t="s">
        <v>28</v>
      </c>
      <c r="L7" t="s">
        <v>10</v>
      </c>
      <c r="N7" t="s">
        <v>45</v>
      </c>
      <c r="O7">
        <f>O5/3</f>
        <v>0.12666666666666668</v>
      </c>
      <c r="P7">
        <f t="shared" ref="P7:R7" si="1">P5/3</f>
        <v>0.12666666666666668</v>
      </c>
      <c r="Q7">
        <f t="shared" si="1"/>
        <v>6.3333333333333339E-2</v>
      </c>
      <c r="R7">
        <f t="shared" si="1"/>
        <v>1.6666666666666666E-2</v>
      </c>
    </row>
    <row r="8" spans="2:18" x14ac:dyDescent="0.45">
      <c r="L8" t="s">
        <v>9</v>
      </c>
      <c r="N8" t="s">
        <v>46</v>
      </c>
      <c r="O8">
        <f>O6*5+O7</f>
        <v>1.3766666666666667</v>
      </c>
      <c r="P8">
        <f t="shared" ref="P8:R8" si="2">P6*5+P7</f>
        <v>0.42666666666666664</v>
      </c>
      <c r="Q8">
        <f t="shared" si="2"/>
        <v>0.16333333333333333</v>
      </c>
      <c r="R8">
        <f t="shared" si="2"/>
        <v>3.3333333333333333E-2</v>
      </c>
    </row>
    <row r="9" spans="2:18" x14ac:dyDescent="0.45">
      <c r="L9" t="s">
        <v>11</v>
      </c>
      <c r="N9" t="s">
        <v>47</v>
      </c>
      <c r="O9">
        <f>O2*15+O3*6+O4*3+O5*2</f>
        <v>17.500000000000004</v>
      </c>
      <c r="P9">
        <f t="shared" ref="P9:R9" si="3">P2*15+P3*6+P4*3+P5*2</f>
        <v>5.74</v>
      </c>
      <c r="Q9">
        <f t="shared" si="3"/>
        <v>2.2999999999999998</v>
      </c>
      <c r="R9">
        <f t="shared" si="3"/>
        <v>0.45999999999999996</v>
      </c>
    </row>
    <row r="10" spans="2:18" x14ac:dyDescent="0.45">
      <c r="L10" t="s">
        <v>12</v>
      </c>
    </row>
    <row r="11" spans="2:18" x14ac:dyDescent="0.45">
      <c r="L11" t="s">
        <v>13</v>
      </c>
    </row>
    <row r="12" spans="2:18" x14ac:dyDescent="0.45">
      <c r="L12" t="s">
        <v>14</v>
      </c>
    </row>
    <row r="13" spans="2:18" ht="14.65" thickBot="1" x14ac:dyDescent="0.5">
      <c r="L13" t="s">
        <v>15</v>
      </c>
    </row>
    <row r="14" spans="2:18" ht="15" thickTop="1" thickBot="1" x14ac:dyDescent="0.5">
      <c r="L14" s="3" t="s">
        <v>18</v>
      </c>
      <c r="O14">
        <v>0</v>
      </c>
      <c r="P14">
        <v>1</v>
      </c>
      <c r="Q14">
        <v>2</v>
      </c>
      <c r="R14">
        <v>3</v>
      </c>
    </row>
    <row r="15" spans="2:18" ht="14.65" thickTop="1" x14ac:dyDescent="0.45">
      <c r="L15" t="s">
        <v>20</v>
      </c>
      <c r="N15" t="s">
        <v>0</v>
      </c>
      <c r="O15">
        <v>1</v>
      </c>
      <c r="P15">
        <v>0</v>
      </c>
      <c r="Q15">
        <v>0</v>
      </c>
      <c r="R15">
        <v>0</v>
      </c>
    </row>
    <row r="16" spans="2:18" x14ac:dyDescent="0.45">
      <c r="L16" t="s">
        <v>21</v>
      </c>
      <c r="N16" t="s">
        <v>1</v>
      </c>
      <c r="O16">
        <f>1-P16</f>
        <v>4.3333333333333335E-2</v>
      </c>
      <c r="P16">
        <f>5.74/6</f>
        <v>0.95666666666666667</v>
      </c>
      <c r="Q16">
        <v>0</v>
      </c>
      <c r="R16">
        <v>0</v>
      </c>
    </row>
    <row r="17" spans="12:18" x14ac:dyDescent="0.45">
      <c r="L17" t="s">
        <v>22</v>
      </c>
      <c r="N17" t="s">
        <v>2</v>
      </c>
      <c r="O17">
        <f>1-Q17</f>
        <v>0.23333333333333339</v>
      </c>
      <c r="P17">
        <v>0</v>
      </c>
      <c r="Q17">
        <f>2.3/3</f>
        <v>0.76666666666666661</v>
      </c>
      <c r="R17">
        <v>0</v>
      </c>
    </row>
    <row r="18" spans="12:18" ht="14.65" thickBot="1" x14ac:dyDescent="0.5">
      <c r="L18" t="s">
        <v>25</v>
      </c>
      <c r="N18" t="s">
        <v>3</v>
      </c>
      <c r="O18">
        <f>1-R18</f>
        <v>0.77</v>
      </c>
      <c r="P18">
        <v>0</v>
      </c>
      <c r="Q18">
        <v>0</v>
      </c>
      <c r="R18">
        <v>0.23</v>
      </c>
    </row>
    <row r="19" spans="12:18" ht="15" thickTop="1" thickBot="1" x14ac:dyDescent="0.5">
      <c r="L19" s="3" t="s">
        <v>27</v>
      </c>
      <c r="N19" t="s">
        <v>47</v>
      </c>
      <c r="O19">
        <f>O15*15+O16*6+O17*3+O18*2</f>
        <v>17.5</v>
      </c>
      <c r="P19">
        <f t="shared" ref="P19:R19" si="4">P15*15+P16*6+P17*3+P18*2</f>
        <v>5.74</v>
      </c>
      <c r="Q19">
        <f t="shared" si="4"/>
        <v>2.2999999999999998</v>
      </c>
      <c r="R19">
        <f t="shared" si="4"/>
        <v>0.46</v>
      </c>
    </row>
    <row r="20" spans="12:18" ht="14.65" thickTop="1" x14ac:dyDescent="0.45">
      <c r="L20" t="s">
        <v>29</v>
      </c>
    </row>
    <row r="21" spans="12:18" x14ac:dyDescent="0.45">
      <c r="L21" t="s">
        <v>30</v>
      </c>
    </row>
    <row r="22" spans="12:18" x14ac:dyDescent="0.45">
      <c r="L22" t="s">
        <v>31</v>
      </c>
    </row>
    <row r="23" spans="12:18" x14ac:dyDescent="0.45">
      <c r="L23" t="s">
        <v>32</v>
      </c>
    </row>
    <row r="24" spans="12:18" x14ac:dyDescent="0.45">
      <c r="L24" t="s">
        <v>33</v>
      </c>
    </row>
    <row r="25" spans="12:18" x14ac:dyDescent="0.45">
      <c r="L25" t="s">
        <v>34</v>
      </c>
    </row>
    <row r="26" spans="12:18" x14ac:dyDescent="0.45">
      <c r="L26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4" ma:contentTypeDescription="Create a new document." ma:contentTypeScope="" ma:versionID="3a5d6468154f3129fcace74134d774ea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55f6975694cfb300750ebd38341a2f6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EFDF435E-A545-4300-9AB5-9D86F13CDC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829D8A-9F5A-4A93-BA1E-A009B6EC13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E6A46-22B3-4FFC-BFE0-F7265CD344AB}">
  <ds:schemaRefs>
    <ds:schemaRef ds:uri="http://www.w3.org/XML/1998/namespace"/>
    <ds:schemaRef ds:uri="http://schemas.microsoft.com/office/2006/metadata/properties"/>
    <ds:schemaRef ds:uri="08ceecc5-2daa-47f4-9f70-3b427bddc800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3bd2448e-bc80-4060-9b44-5204c1169a8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2024-09-20T20:01:39Z</dcterms:created>
  <dcterms:modified xsi:type="dcterms:W3CDTF">2026-09-29T04:35:57Z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