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ks\Documents\Game mechanics\"/>
    </mc:Choice>
  </mc:AlternateContent>
  <xr:revisionPtr revIDLastSave="0" documentId="8_{52087B9B-2AE1-4361-BB53-5795B30D57FE}" xr6:coauthVersionLast="47" xr6:coauthVersionMax="47" xr10:uidLastSave="{00000000-0000-0000-0000-000000000000}"/>
  <bookViews>
    <workbookView xWindow="-98" yWindow="-98" windowWidth="19396" windowHeight="11475" xr2:uid="{64CE9228-7E4D-4937-9B1D-4FBE56A31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D7" i="1"/>
  <c r="D8" i="1" s="1"/>
  <c r="D9" i="1" s="1"/>
  <c r="D10" i="1" s="1"/>
  <c r="E7" i="1"/>
  <c r="C7" i="1"/>
  <c r="C9" i="1"/>
  <c r="C10" i="1" s="1"/>
  <c r="C8" i="1"/>
  <c r="E8" i="1"/>
  <c r="E9" i="1" s="1"/>
  <c r="E10" i="1" s="1"/>
  <c r="C5" i="1"/>
  <c r="D5" i="1"/>
  <c r="E5" i="1"/>
  <c r="B5" i="1"/>
  <c r="B10" i="1" l="1"/>
</calcChain>
</file>

<file path=xl/sharedStrings.xml><?xml version="1.0" encoding="utf-8"?>
<sst xmlns="http://schemas.openxmlformats.org/spreadsheetml/2006/main" count="13" uniqueCount="13">
  <si>
    <t>SMG-5</t>
  </si>
  <si>
    <t>M60</t>
  </si>
  <si>
    <t>Heat/shot</t>
  </si>
  <si>
    <t>shot/clip</t>
  </si>
  <si>
    <t>seconds/reload</t>
  </si>
  <si>
    <t>shots/minute</t>
  </si>
  <si>
    <t>AK47</t>
  </si>
  <si>
    <t>TAR</t>
  </si>
  <si>
    <t>shots/second</t>
  </si>
  <si>
    <t>seconds/clip</t>
  </si>
  <si>
    <t>duty cycle</t>
  </si>
  <si>
    <t>heat/second</t>
  </si>
  <si>
    <t>real s/r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</si>
</sst>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5CFD-234A-4D63-B462-C0F2D74370DE}">
  <dimension ref="A1:E10"/>
  <sheetViews>
    <sheetView tabSelected="1" workbookViewId="0">
      <selection activeCell="C12" sqref="C12"/>
    </sheetView>
  </sheetViews>
  <sheetFormatPr defaultRowHeight="14.25" x14ac:dyDescent="0.45"/>
  <cols>
    <col min="1" max="1" width="17.86328125" customWidth="1"/>
  </cols>
  <sheetData>
    <row r="1" spans="1:5" x14ac:dyDescent="0.45">
      <c r="B1" t="s">
        <v>0</v>
      </c>
      <c r="C1" t="s">
        <v>7</v>
      </c>
      <c r="D1" t="s">
        <v>1</v>
      </c>
      <c r="E1" t="s">
        <v>6</v>
      </c>
    </row>
    <row r="2" spans="1:5" x14ac:dyDescent="0.45">
      <c r="A2" t="s">
        <v>2</v>
      </c>
      <c r="B2">
        <v>0.65</v>
      </c>
      <c r="C2">
        <v>0.9</v>
      </c>
      <c r="D2">
        <v>0.65</v>
      </c>
      <c r="E2">
        <v>0.9</v>
      </c>
    </row>
    <row r="3" spans="1:5" x14ac:dyDescent="0.45">
      <c r="A3" t="s">
        <v>3</v>
      </c>
      <c r="B3">
        <v>30</v>
      </c>
      <c r="C3">
        <v>30</v>
      </c>
      <c r="D3">
        <v>60</v>
      </c>
      <c r="E3">
        <v>30</v>
      </c>
    </row>
    <row r="4" spans="1:5" x14ac:dyDescent="0.45">
      <c r="A4" t="s">
        <v>4</v>
      </c>
      <c r="B4">
        <v>4.0999999999999996</v>
      </c>
      <c r="C4">
        <v>3.8</v>
      </c>
      <c r="D4">
        <v>3.8</v>
      </c>
      <c r="E4">
        <v>2.85</v>
      </c>
    </row>
    <row r="5" spans="1:5" x14ac:dyDescent="0.45">
      <c r="A5" t="s">
        <v>12</v>
      </c>
      <c r="B5">
        <f>B4*1.25/1.3</f>
        <v>3.9423076923076921</v>
      </c>
      <c r="C5">
        <f t="shared" ref="C5:E5" si="0">C4*1.25/1.3</f>
        <v>3.6538461538461537</v>
      </c>
      <c r="D5">
        <f t="shared" si="0"/>
        <v>3.6538461538461537</v>
      </c>
      <c r="E5">
        <f t="shared" si="0"/>
        <v>2.7403846153846154</v>
      </c>
    </row>
    <row r="6" spans="1:5" x14ac:dyDescent="0.45">
      <c r="A6" t="s">
        <v>5</v>
      </c>
      <c r="B6">
        <v>480</v>
      </c>
      <c r="C6">
        <v>405</v>
      </c>
      <c r="D6">
        <v>440</v>
      </c>
      <c r="E6">
        <v>360</v>
      </c>
    </row>
    <row r="7" spans="1:5" x14ac:dyDescent="0.45">
      <c r="A7" t="s">
        <v>8</v>
      </c>
      <c r="B7">
        <f>B6*1.25*1.12/60</f>
        <v>11.200000000000001</v>
      </c>
      <c r="C7">
        <f>C6*1.25*1.12/60</f>
        <v>9.4499999999999993</v>
      </c>
      <c r="D7">
        <f t="shared" ref="D7:E7" si="1">D6*1.25*1.12/60</f>
        <v>10.266666666666669</v>
      </c>
      <c r="E7">
        <f t="shared" si="1"/>
        <v>8.4</v>
      </c>
    </row>
    <row r="8" spans="1:5" x14ac:dyDescent="0.45">
      <c r="A8" t="s">
        <v>9</v>
      </c>
      <c r="B8">
        <f>2*B3/B7</f>
        <v>5.3571428571428568</v>
      </c>
      <c r="C8">
        <f t="shared" ref="C8:E8" si="2">2*C3/C7</f>
        <v>6.3492063492063497</v>
      </c>
      <c r="D8">
        <f t="shared" si="2"/>
        <v>11.688311688311686</v>
      </c>
      <c r="E8">
        <f t="shared" si="2"/>
        <v>7.1428571428571423</v>
      </c>
    </row>
    <row r="9" spans="1:5" x14ac:dyDescent="0.45">
      <c r="A9" t="s">
        <v>10</v>
      </c>
      <c r="B9">
        <f>B8/(B8+B5)</f>
        <v>0.5760709010339734</v>
      </c>
      <c r="C9">
        <f>C8/(C8+C5)</f>
        <v>0.634726884345438</v>
      </c>
      <c r="D9">
        <f t="shared" ref="D9:E9" si="3">D8/(D8+D5)</f>
        <v>0.76184274784307338</v>
      </c>
      <c r="E9">
        <f t="shared" si="3"/>
        <v>0.72272411396803338</v>
      </c>
    </row>
    <row r="10" spans="1:5" x14ac:dyDescent="0.45">
      <c r="A10" t="s">
        <v>11</v>
      </c>
      <c r="B10">
        <f>B9*B2*B7</f>
        <v>4.1937961595273263</v>
      </c>
      <c r="C10">
        <f>C9*C2*C7</f>
        <v>5.3983521513579502</v>
      </c>
      <c r="D10">
        <f>D9*D2*D7</f>
        <v>5.0840306039394445</v>
      </c>
      <c r="E10">
        <f>E9*E2*E7</f>
        <v>5.463794301598333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3" ma:contentTypeDescription="Create a new document." ma:contentTypeScope="" ma:versionID="f3823cd3962fba0518e0050b89699b3c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ebd73eff6a3c35c68963ba2d725331d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Props1.xml><?xml version="1.0" encoding="utf-8"?>
<ds:datastoreItem xmlns:ds="http://schemas.openxmlformats.org/officeDocument/2006/customXml" ds:itemID="{A041871A-AA0B-4D89-A7C5-52E674AB63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6F05DE-9F80-4530-9AD7-D5EE640A0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2FBDFF-288B-47AB-B8FA-3925348E526F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08ceecc5-2daa-47f4-9f70-3b427bddc800"/>
    <ds:schemaRef ds:uri="http://purl.org/dc/dcmitype/"/>
    <ds:schemaRef ds:uri="3bd2448e-bc80-4060-9b44-5204c1169a85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2024-01-30T00:54:19Z</dcterms:created>
  <dcterms:modified xsi:type="dcterms:W3CDTF">2026-09-29T04:23:40Z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