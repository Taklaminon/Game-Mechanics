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CE367E56-269D-4920-A465-CB1197503E72}" xr6:coauthVersionLast="47" xr6:coauthVersionMax="47" xr10:uidLastSave="{00000000-0000-0000-0000-000000000000}"/>
  <bookViews>
    <workbookView xWindow="-98" yWindow="-98" windowWidth="19396" windowHeight="11475" firstSheet="2" activeTab="6" xr2:uid="{0860EF6D-6BF9-4236-BC7B-D81FE617673B}"/>
  </bookViews>
  <sheets>
    <sheet name="VZ61" sheetId="1" r:id="rId1"/>
    <sheet name="Ithaca" sheetId="3" r:id="rId2"/>
    <sheet name="S75" sheetId="4" r:id="rId3"/>
    <sheet name="M92F" sheetId="5" r:id="rId4"/>
    <sheet name="MP5" sheetId="7" r:id="rId5"/>
    <sheet name="VZ61 crit" sheetId="8" r:id="rId6"/>
    <sheet name="VZ61 crit (2)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9" l="1"/>
  <c r="F15" i="9"/>
  <c r="E15" i="9"/>
  <c r="F14" i="9"/>
  <c r="E14" i="9"/>
  <c r="G13" i="9"/>
  <c r="H13" i="9" s="1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G5" i="9"/>
  <c r="I5" i="9" s="1"/>
  <c r="F5" i="9"/>
  <c r="E5" i="9"/>
  <c r="F4" i="9"/>
  <c r="E4" i="9"/>
  <c r="F3" i="9"/>
  <c r="E3" i="9"/>
  <c r="G14" i="9" s="1"/>
  <c r="I14" i="9" s="1"/>
  <c r="M2" i="9"/>
  <c r="L2" i="9"/>
  <c r="F2" i="9"/>
  <c r="G10" i="9"/>
  <c r="E2" i="8"/>
  <c r="G5" i="8" s="1"/>
  <c r="H5" i="8" s="1"/>
  <c r="G13" i="8"/>
  <c r="I13" i="8" s="1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M2" i="8"/>
  <c r="L2" i="8"/>
  <c r="F2" i="8"/>
  <c r="G3" i="5"/>
  <c r="G4" i="5"/>
  <c r="G5" i="5"/>
  <c r="G6" i="5"/>
  <c r="G7" i="5"/>
  <c r="I7" i="5" s="1"/>
  <c r="G8" i="5"/>
  <c r="G9" i="5"/>
  <c r="G10" i="5"/>
  <c r="G11" i="5"/>
  <c r="G12" i="5"/>
  <c r="I12" i="5" s="1"/>
  <c r="G13" i="5"/>
  <c r="I13" i="5" s="1"/>
  <c r="G14" i="5"/>
  <c r="I14" i="5" s="1"/>
  <c r="G15" i="5"/>
  <c r="I15" i="5" s="1"/>
  <c r="G2" i="5"/>
  <c r="E4" i="5"/>
  <c r="E5" i="5"/>
  <c r="E6" i="5"/>
  <c r="E7" i="5"/>
  <c r="E8" i="5"/>
  <c r="E9" i="5"/>
  <c r="E10" i="5"/>
  <c r="E11" i="5"/>
  <c r="E12" i="5"/>
  <c r="E13" i="5"/>
  <c r="E14" i="5"/>
  <c r="E15" i="5"/>
  <c r="E3" i="5"/>
  <c r="E2" i="5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M2" i="7"/>
  <c r="F2" i="7"/>
  <c r="E2" i="7"/>
  <c r="G3" i="1"/>
  <c r="G4" i="1"/>
  <c r="G5" i="1"/>
  <c r="G6" i="1"/>
  <c r="G7" i="1"/>
  <c r="G8" i="1"/>
  <c r="G9" i="1"/>
  <c r="G10" i="1"/>
  <c r="G11" i="1"/>
  <c r="G12" i="1"/>
  <c r="I12" i="1" s="1"/>
  <c r="G13" i="1"/>
  <c r="I13" i="1" s="1"/>
  <c r="G14" i="1"/>
  <c r="I14" i="1" s="1"/>
  <c r="G15" i="1"/>
  <c r="I15" i="1" s="1"/>
  <c r="G2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E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G3" i="3"/>
  <c r="G4" i="3"/>
  <c r="G5" i="3"/>
  <c r="G6" i="3"/>
  <c r="G7" i="3"/>
  <c r="G8" i="3"/>
  <c r="G9" i="3"/>
  <c r="G10" i="3"/>
  <c r="I10" i="3" s="1"/>
  <c r="G11" i="3"/>
  <c r="G12" i="3"/>
  <c r="I12" i="3" s="1"/>
  <c r="G13" i="3"/>
  <c r="I13" i="3" s="1"/>
  <c r="G14" i="3"/>
  <c r="I14" i="3" s="1"/>
  <c r="G15" i="3"/>
  <c r="I15" i="3" s="1"/>
  <c r="G2" i="3"/>
  <c r="E4" i="3"/>
  <c r="E5" i="3"/>
  <c r="E6" i="3"/>
  <c r="E7" i="3"/>
  <c r="E8" i="3"/>
  <c r="E9" i="3"/>
  <c r="E10" i="3"/>
  <c r="E11" i="3"/>
  <c r="E12" i="3"/>
  <c r="E13" i="3"/>
  <c r="E14" i="3"/>
  <c r="E15" i="3"/>
  <c r="E3" i="3"/>
  <c r="E2" i="3"/>
  <c r="G3" i="4"/>
  <c r="G4" i="4"/>
  <c r="G5" i="4"/>
  <c r="G6" i="4"/>
  <c r="G7" i="4"/>
  <c r="I7" i="4" s="1"/>
  <c r="G8" i="4"/>
  <c r="I8" i="4" s="1"/>
  <c r="G9" i="4"/>
  <c r="I9" i="4" s="1"/>
  <c r="G10" i="4"/>
  <c r="G11" i="4"/>
  <c r="G12" i="4"/>
  <c r="G13" i="4"/>
  <c r="G2" i="4"/>
  <c r="E4" i="4"/>
  <c r="E5" i="4"/>
  <c r="E6" i="4"/>
  <c r="E7" i="4"/>
  <c r="E8" i="4"/>
  <c r="E9" i="4"/>
  <c r="E10" i="4"/>
  <c r="E11" i="4"/>
  <c r="E12" i="4"/>
  <c r="E13" i="4"/>
  <c r="E3" i="4"/>
  <c r="E2" i="4"/>
  <c r="F15" i="5"/>
  <c r="F14" i="5"/>
  <c r="F13" i="5"/>
  <c r="F12" i="5"/>
  <c r="I11" i="5"/>
  <c r="F11" i="5"/>
  <c r="I10" i="5"/>
  <c r="F10" i="5"/>
  <c r="I9" i="5"/>
  <c r="F9" i="5"/>
  <c r="I8" i="5"/>
  <c r="F8" i="5"/>
  <c r="F7" i="5"/>
  <c r="I6" i="5"/>
  <c r="F6" i="5"/>
  <c r="I5" i="5"/>
  <c r="F5" i="5"/>
  <c r="I4" i="5"/>
  <c r="F4" i="5"/>
  <c r="H4" i="5" s="1"/>
  <c r="I3" i="5"/>
  <c r="F3" i="5"/>
  <c r="H3" i="5" s="1"/>
  <c r="I2" i="5"/>
  <c r="F2" i="5"/>
  <c r="H2" i="5" s="1"/>
  <c r="I13" i="4"/>
  <c r="F13" i="4"/>
  <c r="I12" i="4"/>
  <c r="F12" i="4"/>
  <c r="I11" i="4"/>
  <c r="F11" i="4"/>
  <c r="I10" i="4"/>
  <c r="F10" i="4"/>
  <c r="F9" i="4"/>
  <c r="F8" i="4"/>
  <c r="F7" i="4"/>
  <c r="I6" i="4"/>
  <c r="F6" i="4"/>
  <c r="I5" i="4"/>
  <c r="F5" i="4"/>
  <c r="I4" i="4"/>
  <c r="F4" i="4"/>
  <c r="H4" i="4" s="1"/>
  <c r="I3" i="4"/>
  <c r="F3" i="4"/>
  <c r="H3" i="4" s="1"/>
  <c r="J3" i="4" s="1"/>
  <c r="I2" i="4"/>
  <c r="F2" i="4"/>
  <c r="H2" i="4" s="1"/>
  <c r="J2" i="4" s="1"/>
  <c r="I11" i="3"/>
  <c r="I9" i="3"/>
  <c r="I8" i="3"/>
  <c r="I7" i="3"/>
  <c r="I6" i="3"/>
  <c r="I5" i="3"/>
  <c r="I4" i="3"/>
  <c r="H4" i="3"/>
  <c r="I3" i="3"/>
  <c r="I2" i="3"/>
  <c r="F2" i="3"/>
  <c r="M2" i="1"/>
  <c r="L2" i="1"/>
  <c r="I3" i="1"/>
  <c r="I4" i="1"/>
  <c r="I5" i="1"/>
  <c r="I6" i="1"/>
  <c r="I7" i="1"/>
  <c r="I8" i="1"/>
  <c r="I9" i="1"/>
  <c r="I10" i="1"/>
  <c r="I11" i="1"/>
  <c r="I2" i="1"/>
  <c r="F3" i="1"/>
  <c r="H3" i="1" s="1"/>
  <c r="F4" i="1"/>
  <c r="F5" i="1"/>
  <c r="H5" i="1" s="1"/>
  <c r="F6" i="1"/>
  <c r="H6" i="1" s="1"/>
  <c r="F7" i="1"/>
  <c r="F8" i="1"/>
  <c r="F9" i="1"/>
  <c r="F10" i="1"/>
  <c r="F11" i="1"/>
  <c r="F12" i="1"/>
  <c r="F13" i="1"/>
  <c r="F14" i="1"/>
  <c r="F15" i="1"/>
  <c r="I13" i="9" l="1"/>
  <c r="H14" i="9"/>
  <c r="J14" i="9" s="1"/>
  <c r="H11" i="9"/>
  <c r="J11" i="9" s="1"/>
  <c r="H10" i="9"/>
  <c r="I10" i="9"/>
  <c r="H15" i="9"/>
  <c r="J15" i="9" s="1"/>
  <c r="J5" i="9"/>
  <c r="G3" i="9"/>
  <c r="I3" i="9" s="1"/>
  <c r="G9" i="9"/>
  <c r="I9" i="9" s="1"/>
  <c r="G4" i="9"/>
  <c r="I4" i="9" s="1"/>
  <c r="G12" i="9"/>
  <c r="I12" i="9" s="1"/>
  <c r="G11" i="9"/>
  <c r="I11" i="9" s="1"/>
  <c r="G6" i="9"/>
  <c r="I6" i="9" s="1"/>
  <c r="G2" i="9"/>
  <c r="I2" i="9" s="1"/>
  <c r="G7" i="9"/>
  <c r="I7" i="9" s="1"/>
  <c r="G15" i="9"/>
  <c r="I15" i="9" s="1"/>
  <c r="H5" i="9"/>
  <c r="G8" i="9"/>
  <c r="I8" i="9" s="1"/>
  <c r="J13" i="9"/>
  <c r="G8" i="8"/>
  <c r="I8" i="8" s="1"/>
  <c r="G10" i="8"/>
  <c r="H8" i="8"/>
  <c r="H10" i="8"/>
  <c r="I10" i="8"/>
  <c r="H7" i="8"/>
  <c r="J7" i="8" s="1"/>
  <c r="H15" i="8"/>
  <c r="J15" i="8" s="1"/>
  <c r="I5" i="8"/>
  <c r="J5" i="8" s="1"/>
  <c r="G14" i="8"/>
  <c r="I14" i="8" s="1"/>
  <c r="H13" i="8"/>
  <c r="J13" i="8" s="1"/>
  <c r="G3" i="8"/>
  <c r="I3" i="8" s="1"/>
  <c r="J8" i="8"/>
  <c r="G6" i="8"/>
  <c r="I6" i="8" s="1"/>
  <c r="G12" i="8"/>
  <c r="I12" i="8" s="1"/>
  <c r="G2" i="8"/>
  <c r="I2" i="8" s="1"/>
  <c r="G7" i="8"/>
  <c r="I7" i="8" s="1"/>
  <c r="G15" i="8"/>
  <c r="I15" i="8" s="1"/>
  <c r="G11" i="8"/>
  <c r="I11" i="8" s="1"/>
  <c r="G9" i="8"/>
  <c r="I9" i="8" s="1"/>
  <c r="G4" i="8"/>
  <c r="I4" i="8" s="1"/>
  <c r="J4" i="5"/>
  <c r="G9" i="7"/>
  <c r="H9" i="7" s="1"/>
  <c r="G10" i="7"/>
  <c r="I10" i="7" s="1"/>
  <c r="I9" i="7"/>
  <c r="H5" i="7"/>
  <c r="G7" i="7"/>
  <c r="I7" i="7" s="1"/>
  <c r="G11" i="7"/>
  <c r="I11" i="7" s="1"/>
  <c r="G6" i="7"/>
  <c r="I6" i="7" s="1"/>
  <c r="G4" i="7"/>
  <c r="I4" i="7" s="1"/>
  <c r="J9" i="7"/>
  <c r="G8" i="7"/>
  <c r="I8" i="7" s="1"/>
  <c r="G2" i="7"/>
  <c r="I2" i="7" s="1"/>
  <c r="G5" i="7"/>
  <c r="I5" i="7" s="1"/>
  <c r="G3" i="7"/>
  <c r="I3" i="7" s="1"/>
  <c r="J5" i="7"/>
  <c r="H12" i="1"/>
  <c r="H11" i="1"/>
  <c r="H10" i="1"/>
  <c r="H9" i="1"/>
  <c r="H8" i="1"/>
  <c r="H13" i="1"/>
  <c r="J13" i="1" s="1"/>
  <c r="H7" i="1"/>
  <c r="H4" i="1"/>
  <c r="J4" i="1" s="1"/>
  <c r="H15" i="1"/>
  <c r="J3" i="1"/>
  <c r="H2" i="1"/>
  <c r="J2" i="1" s="1"/>
  <c r="H14" i="1"/>
  <c r="J14" i="1" s="1"/>
  <c r="J12" i="1"/>
  <c r="J11" i="1"/>
  <c r="J10" i="1"/>
  <c r="J9" i="1"/>
  <c r="J8" i="1"/>
  <c r="J7" i="1"/>
  <c r="J6" i="1"/>
  <c r="J15" i="1"/>
  <c r="J5" i="1"/>
  <c r="H2" i="3"/>
  <c r="J2" i="3" s="1"/>
  <c r="H3" i="3"/>
  <c r="J4" i="4"/>
  <c r="H11" i="5"/>
  <c r="J11" i="5" s="1"/>
  <c r="H12" i="5"/>
  <c r="J12" i="5" s="1"/>
  <c r="H7" i="5"/>
  <c r="J7" i="5" s="1"/>
  <c r="H9" i="5"/>
  <c r="J9" i="5" s="1"/>
  <c r="H13" i="5"/>
  <c r="J13" i="5" s="1"/>
  <c r="H8" i="5"/>
  <c r="J8" i="5" s="1"/>
  <c r="H14" i="5"/>
  <c r="J14" i="5" s="1"/>
  <c r="H10" i="5"/>
  <c r="H5" i="5"/>
  <c r="J5" i="5" s="1"/>
  <c r="H15" i="5"/>
  <c r="J15" i="5" s="1"/>
  <c r="H6" i="5"/>
  <c r="J6" i="5" s="1"/>
  <c r="J10" i="5"/>
  <c r="J2" i="5"/>
  <c r="J3" i="5"/>
  <c r="H9" i="4"/>
  <c r="J9" i="4" s="1"/>
  <c r="H10" i="4"/>
  <c r="J10" i="4" s="1"/>
  <c r="H12" i="4"/>
  <c r="J12" i="4" s="1"/>
  <c r="H8" i="4"/>
  <c r="J8" i="4" s="1"/>
  <c r="H11" i="4"/>
  <c r="H13" i="4"/>
  <c r="J13" i="4" s="1"/>
  <c r="H5" i="4"/>
  <c r="J5" i="4" s="1"/>
  <c r="H7" i="4"/>
  <c r="J7" i="4" s="1"/>
  <c r="H6" i="4"/>
  <c r="J6" i="4" s="1"/>
  <c r="J11" i="4"/>
  <c r="H7" i="3"/>
  <c r="J7" i="3" s="1"/>
  <c r="H12" i="3"/>
  <c r="J12" i="3" s="1"/>
  <c r="H11" i="3"/>
  <c r="J11" i="3" s="1"/>
  <c r="H10" i="3"/>
  <c r="J10" i="3" s="1"/>
  <c r="H14" i="3"/>
  <c r="J14" i="3" s="1"/>
  <c r="H13" i="3"/>
  <c r="J13" i="3" s="1"/>
  <c r="H5" i="3"/>
  <c r="J5" i="3" s="1"/>
  <c r="H9" i="3"/>
  <c r="J9" i="3" s="1"/>
  <c r="H6" i="3"/>
  <c r="J6" i="3" s="1"/>
  <c r="H15" i="3"/>
  <c r="J15" i="3" s="1"/>
  <c r="H8" i="3"/>
  <c r="J8" i="3"/>
  <c r="J4" i="3"/>
  <c r="J3" i="3"/>
  <c r="J10" i="9" l="1"/>
  <c r="H9" i="9"/>
  <c r="J9" i="9" s="1"/>
  <c r="H6" i="9"/>
  <c r="J6" i="9" s="1"/>
  <c r="H4" i="9"/>
  <c r="J4" i="9" s="1"/>
  <c r="H8" i="9"/>
  <c r="J8" i="9" s="1"/>
  <c r="H7" i="9"/>
  <c r="J7" i="9" s="1"/>
  <c r="H3" i="9"/>
  <c r="J3" i="9" s="1"/>
  <c r="H12" i="9"/>
  <c r="J12" i="9" s="1"/>
  <c r="H2" i="9"/>
  <c r="J2" i="9" s="1"/>
  <c r="H4" i="8"/>
  <c r="J4" i="8" s="1"/>
  <c r="H6" i="8"/>
  <c r="J6" i="8" s="1"/>
  <c r="J10" i="8"/>
  <c r="H14" i="8"/>
  <c r="J14" i="8" s="1"/>
  <c r="H12" i="8"/>
  <c r="J12" i="8" s="1"/>
  <c r="H3" i="8"/>
  <c r="J3" i="8" s="1"/>
  <c r="H9" i="8"/>
  <c r="J9" i="8" s="1"/>
  <c r="H11" i="8"/>
  <c r="J11" i="8" s="1"/>
  <c r="H2" i="8"/>
  <c r="J2" i="8" s="1"/>
  <c r="H10" i="7"/>
  <c r="J10" i="7" s="1"/>
  <c r="H8" i="7"/>
  <c r="J8" i="7" s="1"/>
  <c r="H3" i="7"/>
  <c r="J3" i="7" s="1"/>
  <c r="H6" i="7"/>
  <c r="J6" i="7" s="1"/>
  <c r="H11" i="7"/>
  <c r="J11" i="7" s="1"/>
  <c r="H4" i="7"/>
  <c r="J4" i="7" s="1"/>
  <c r="H2" i="7"/>
  <c r="J2" i="7" s="1"/>
  <c r="H7" i="7"/>
  <c r="J7" i="7" s="1"/>
</calcChain>
</file>

<file path=xl/sharedStrings.xml><?xml version="1.0" encoding="utf-8"?>
<sst xmlns="http://schemas.openxmlformats.org/spreadsheetml/2006/main" count="77" uniqueCount="11">
  <si>
    <t>capacity</t>
  </si>
  <si>
    <t>cost</t>
  </si>
  <si>
    <t>total capacity</t>
  </si>
  <si>
    <t>total cost</t>
  </si>
  <si>
    <t>bullets per cost</t>
  </si>
  <si>
    <t>extra bullets per cost</t>
  </si>
  <si>
    <t>level</t>
  </si>
  <si>
    <t>power per cost</t>
  </si>
  <si>
    <t>level 0 power</t>
  </si>
  <si>
    <t>fully upgraded power</t>
  </si>
  <si>
    <t>true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</si>
</sst>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'VZ61'!$H$1</c:f>
              <c:strCache>
                <c:ptCount val="1"/>
                <c:pt idx="0">
                  <c:v>bullets per 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'VZ61'!$B$2:$B$15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'VZ61'!$H$2:$H$15</c:f>
              <c:numCache>
                <c:formatCode>General</c:formatCode>
                <c:ptCount val="14"/>
                <c:pt idx="0">
                  <c:v>2.7777777777777776E-2</c:v>
                </c:pt>
                <c:pt idx="1">
                  <c:v>5.057471264367816E-2</c:v>
                </c:pt>
                <c:pt idx="2">
                  <c:v>7.4509803921568626E-2</c:v>
                </c:pt>
                <c:pt idx="3">
                  <c:v>8.7878787878787876E-2</c:v>
                </c:pt>
                <c:pt idx="4">
                  <c:v>0.10123456790123457</c:v>
                </c:pt>
                <c:pt idx="5">
                  <c:v>0.10628019323671498</c:v>
                </c:pt>
                <c:pt idx="6">
                  <c:v>0.1126984126984127</c:v>
                </c:pt>
                <c:pt idx="7">
                  <c:v>0.1141025641025641</c:v>
                </c:pt>
                <c:pt idx="8">
                  <c:v>0.10845771144278607</c:v>
                </c:pt>
                <c:pt idx="9">
                  <c:v>0.10038314176245211</c:v>
                </c:pt>
                <c:pt idx="10">
                  <c:v>9.2261904761904767E-2</c:v>
                </c:pt>
                <c:pt idx="11">
                  <c:v>8.4976525821596247E-2</c:v>
                </c:pt>
                <c:pt idx="12">
                  <c:v>7.8719397363465157E-2</c:v>
                </c:pt>
                <c:pt idx="13">
                  <c:v>7.0190895741556528E-2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1C-4F21-AEB7-723C2CE8C852}"/>
            </c:ext>
          </c:extLst>
        </c:ser>
        <c:ser>
          <c:idx val="1"/>
          <c:order val="1"/>
          <c:tx>
            <c:strRef>
              <c:f>'VZ61'!$I$1</c:f>
              <c:strCache>
                <c:ptCount val="1"/>
                <c:pt idx="0">
                  <c:v>extra bullets per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'VZ61'!$B$2:$B$15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'VZ61'!$I$2:$I$15</c:f>
              <c:numCache>
                <c:formatCode>General</c:formatCode>
                <c:ptCount val="14"/>
                <c:pt idx="0">
                  <c:v>2.7777777777777776E-2</c:v>
                </c:pt>
                <c:pt idx="1">
                  <c:v>2.7586206896551724E-2</c:v>
                </c:pt>
                <c:pt idx="2">
                  <c:v>3.1372549019607843E-2</c:v>
                </c:pt>
                <c:pt idx="3">
                  <c:v>3.0303030303030304E-2</c:v>
                </c:pt>
                <c:pt idx="4">
                  <c:v>2.9629629629629631E-2</c:v>
                </c:pt>
                <c:pt idx="5">
                  <c:v>2.7053140096618359E-2</c:v>
                </c:pt>
                <c:pt idx="6">
                  <c:v>2.5396825396825397E-2</c:v>
                </c:pt>
                <c:pt idx="7">
                  <c:v>2.3076923076923078E-2</c:v>
                </c:pt>
                <c:pt idx="8">
                  <c:v>1.9900497512437811E-2</c:v>
                </c:pt>
                <c:pt idx="9">
                  <c:v>1.6858237547892719E-2</c:v>
                </c:pt>
                <c:pt idx="10">
                  <c:v>1.4285714285714285E-2</c:v>
                </c:pt>
                <c:pt idx="11">
                  <c:v>1.2206572769953052E-2</c:v>
                </c:pt>
                <c:pt idx="12">
                  <c:v>1.0546139359698682E-2</c:v>
                </c:pt>
                <c:pt idx="13">
                  <c:v>8.8105726872246704E-3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1C-4F21-AEB7-723C2CE8C852}"/>
            </c:ext>
          </c:extLst>
        </c:ser>
        <c:ser>
          <c:idx val="2"/>
          <c:order val="2"/>
          <c:tx>
            <c:strRef>
              <c:f>'VZ61'!$J$1</c:f>
              <c:strCache>
                <c:ptCount val="1"/>
                <c:pt idx="0">
                  <c:v>power per cost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'VZ61'!$B$2:$B$15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'VZ61'!$J$2:$J$15</c:f>
              <c:numCache>
                <c:formatCode>General</c:formatCode>
                <c:ptCount val="14"/>
                <c:pt idx="0">
                  <c:v>6.9444444444444448E-2</c:v>
                </c:pt>
                <c:pt idx="1">
                  <c:v>8.0459770114942528E-2</c:v>
                </c:pt>
                <c:pt idx="2">
                  <c:v>0.1</c:v>
                </c:pt>
                <c:pt idx="3">
                  <c:v>0.10454545454545454</c:v>
                </c:pt>
                <c:pt idx="4">
                  <c:v>0.10987654320987655</c:v>
                </c:pt>
                <c:pt idx="5">
                  <c:v>0.1072463768115942</c:v>
                </c:pt>
                <c:pt idx="6">
                  <c:v>0.10714285714285715</c:v>
                </c:pt>
                <c:pt idx="7">
                  <c:v>0.10320512820512821</c:v>
                </c:pt>
                <c:pt idx="8">
                  <c:v>9.4029850746268656E-2</c:v>
                </c:pt>
                <c:pt idx="9">
                  <c:v>8.39080459770115E-2</c:v>
                </c:pt>
                <c:pt idx="10">
                  <c:v>7.4702380952380951E-2</c:v>
                </c:pt>
                <c:pt idx="11">
                  <c:v>6.6901408450704219E-2</c:v>
                </c:pt>
                <c:pt idx="12">
                  <c:v>6.0451977401129939E-2</c:v>
                </c:pt>
                <c:pt idx="13">
                  <c:v>5.2716593245227601E-2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1C-4F21-AEB7-723C2CE8C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17696"/>
        <c:axId val="1272385344"/>
      </c:scatterChart>
      <c:valAx>
        <c:axId val="12729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85344"/>
        <c:crosses val="autoZero"/>
        <c:crossBetween val="midCat"/>
      </c:valAx>
      <c:valAx>
        <c:axId val="12723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Ithaca!$H$1</c:f>
              <c:strCache>
                <c:ptCount val="1"/>
                <c:pt idx="0">
                  <c:v>bullets per 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Ithaca!$B$2:$B$15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Ithaca!$H$2:$H$15</c:f>
              <c:numCache>
                <c:formatCode>General</c:formatCode>
                <c:ptCount val="14"/>
                <c:pt idx="0">
                  <c:v>3.3333333333333335E-3</c:v>
                </c:pt>
                <c:pt idx="1">
                  <c:v>5.9770114942528738E-3</c:v>
                </c:pt>
                <c:pt idx="2">
                  <c:v>8.2352941176470594E-3</c:v>
                </c:pt>
                <c:pt idx="3">
                  <c:v>1.0256410256410256E-2</c:v>
                </c:pt>
                <c:pt idx="4">
                  <c:v>1.2121212121212121E-2</c:v>
                </c:pt>
                <c:pt idx="5">
                  <c:v>1.2839506172839505E-2</c:v>
                </c:pt>
                <c:pt idx="6">
                  <c:v>1.3541666666666667E-2</c:v>
                </c:pt>
                <c:pt idx="7">
                  <c:v>1.350210970464135E-2</c:v>
                </c:pt>
                <c:pt idx="8">
                  <c:v>1.2929292929292929E-2</c:v>
                </c:pt>
                <c:pt idx="9">
                  <c:v>1.1679586563307493E-2</c:v>
                </c:pt>
                <c:pt idx="10">
                  <c:v>1.0335305719921105E-2</c:v>
                </c:pt>
                <c:pt idx="11">
                  <c:v>9.1933028919330296E-3</c:v>
                </c:pt>
                <c:pt idx="12">
                  <c:v>7.9815455594002306E-3</c:v>
                </c:pt>
                <c:pt idx="13">
                  <c:v>6.786632390745501E-3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8-4EAD-9C97-7B26F73E14CA}"/>
            </c:ext>
          </c:extLst>
        </c:ser>
        <c:ser>
          <c:idx val="1"/>
          <c:order val="1"/>
          <c:tx>
            <c:strRef>
              <c:f>Ithaca!$I$1</c:f>
              <c:strCache>
                <c:ptCount val="1"/>
                <c:pt idx="0">
                  <c:v>extra bullets per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Ithaca!$B$2:$B$15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Ithaca!$I$2:$I$15</c:f>
              <c:numCache>
                <c:formatCode>General</c:formatCode>
                <c:ptCount val="14"/>
                <c:pt idx="0">
                  <c:v>3.3333333333333335E-3</c:v>
                </c:pt>
                <c:pt idx="1">
                  <c:v>3.2183908045977012E-3</c:v>
                </c:pt>
                <c:pt idx="2">
                  <c:v>3.1372549019607842E-3</c:v>
                </c:pt>
                <c:pt idx="3">
                  <c:v>3.0769230769230769E-3</c:v>
                </c:pt>
                <c:pt idx="4">
                  <c:v>3.0303030303030303E-3</c:v>
                </c:pt>
                <c:pt idx="5">
                  <c:v>2.9629629629629628E-3</c:v>
                </c:pt>
                <c:pt idx="6">
                  <c:v>2.7083333333333334E-3</c:v>
                </c:pt>
                <c:pt idx="7">
                  <c:v>2.5316455696202532E-3</c:v>
                </c:pt>
                <c:pt idx="8">
                  <c:v>2.1548821548821547E-3</c:v>
                </c:pt>
                <c:pt idx="9">
                  <c:v>1.7571059431524547E-3</c:v>
                </c:pt>
                <c:pt idx="10">
                  <c:v>1.4201183431952662E-3</c:v>
                </c:pt>
                <c:pt idx="11">
                  <c:v>1.2176560121765602E-3</c:v>
                </c:pt>
                <c:pt idx="12">
                  <c:v>1.0149942329873126E-3</c:v>
                </c:pt>
                <c:pt idx="13">
                  <c:v>8.5689802913453304E-4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88-4EAD-9C97-7B26F73E14CA}"/>
            </c:ext>
          </c:extLst>
        </c:ser>
        <c:ser>
          <c:idx val="2"/>
          <c:order val="2"/>
          <c:tx>
            <c:strRef>
              <c:f>Ithaca!$J$1</c:f>
              <c:strCache>
                <c:ptCount val="1"/>
                <c:pt idx="0">
                  <c:v>power per cost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Ithaca!$B$2:$B$15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Ithaca!$J$2:$J$15</c:f>
              <c:numCache>
                <c:formatCode>General</c:formatCode>
                <c:ptCount val="14"/>
                <c:pt idx="0">
                  <c:v>0.03</c:v>
                </c:pt>
                <c:pt idx="1">
                  <c:v>3.4482758620689655E-2</c:v>
                </c:pt>
                <c:pt idx="2">
                  <c:v>3.8431372549019606E-2</c:v>
                </c:pt>
                <c:pt idx="3">
                  <c:v>4.2051282051282043E-2</c:v>
                </c:pt>
                <c:pt idx="4">
                  <c:v>4.5454545454545449E-2</c:v>
                </c:pt>
                <c:pt idx="5">
                  <c:v>4.6419753086419747E-2</c:v>
                </c:pt>
                <c:pt idx="6">
                  <c:v>4.6041666666666668E-2</c:v>
                </c:pt>
                <c:pt idx="7">
                  <c:v>4.472573839662447E-2</c:v>
                </c:pt>
                <c:pt idx="8">
                  <c:v>4.0942760942760933E-2</c:v>
                </c:pt>
                <c:pt idx="9">
                  <c:v>3.565891472868217E-2</c:v>
                </c:pt>
                <c:pt idx="10">
                  <c:v>3.0611439842209071E-2</c:v>
                </c:pt>
                <c:pt idx="11">
                  <c:v>2.6910197869101982E-2</c:v>
                </c:pt>
                <c:pt idx="12">
                  <c:v>2.306805074971165E-2</c:v>
                </c:pt>
                <c:pt idx="13">
                  <c:v>1.9571550985432732E-2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88-4EAD-9C97-7B26F73E1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17696"/>
        <c:axId val="1272385344"/>
      </c:scatterChart>
      <c:valAx>
        <c:axId val="12729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85344"/>
        <c:crosses val="autoZero"/>
        <c:crossBetween val="midCat"/>
      </c:valAx>
      <c:valAx>
        <c:axId val="12723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'S75'!$H$1</c:f>
              <c:strCache>
                <c:ptCount val="1"/>
                <c:pt idx="0">
                  <c:v>bullets per 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'S75'!$B$2:$B$15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'S75'!$H$2:$H$15</c:f>
              <c:numCache>
                <c:formatCode>General</c:formatCode>
                <c:ptCount val="14"/>
                <c:pt idx="0">
                  <c:v>3.3333333333333335E-3</c:v>
                </c:pt>
                <c:pt idx="1">
                  <c:v>5.9770114942528738E-3</c:v>
                </c:pt>
                <c:pt idx="2">
                  <c:v>8.2352941176470594E-3</c:v>
                </c:pt>
                <c:pt idx="3">
                  <c:v>9.3939393939393937E-3</c:v>
                </c:pt>
                <c:pt idx="4">
                  <c:v>1.0617283950617284E-2</c:v>
                </c:pt>
                <c:pt idx="5">
                  <c:v>1.0450450450450451E-2</c:v>
                </c:pt>
                <c:pt idx="6">
                  <c:v>1.0638297872340425E-2</c:v>
                </c:pt>
                <c:pt idx="7">
                  <c:v>1.0215053763440861E-2</c:v>
                </c:pt>
                <c:pt idx="8">
                  <c:v>9.5121951219512193E-3</c:v>
                </c:pt>
                <c:pt idx="9">
                  <c:v>9.2810457516339876E-3</c:v>
                </c:pt>
                <c:pt idx="10">
                  <c:v>8.5446009389671361E-3</c:v>
                </c:pt>
                <c:pt idx="11">
                  <c:v>8.0555555555555554E-3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01-4D3F-B7C5-14332E3EB7AC}"/>
            </c:ext>
          </c:extLst>
        </c:ser>
        <c:ser>
          <c:idx val="1"/>
          <c:order val="1"/>
          <c:tx>
            <c:strRef>
              <c:f>'S75'!$I$1</c:f>
              <c:strCache>
                <c:ptCount val="1"/>
                <c:pt idx="0">
                  <c:v>extra bullets per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'S75'!$B$2:$B$15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'S75'!$I$2:$I$15</c:f>
              <c:numCache>
                <c:formatCode>General</c:formatCode>
                <c:ptCount val="14"/>
                <c:pt idx="0">
                  <c:v>3.3333333333333335E-3</c:v>
                </c:pt>
                <c:pt idx="1">
                  <c:v>3.2183908045977012E-3</c:v>
                </c:pt>
                <c:pt idx="2">
                  <c:v>3.1372549019607842E-3</c:v>
                </c:pt>
                <c:pt idx="3">
                  <c:v>3.0303030303030303E-3</c:v>
                </c:pt>
                <c:pt idx="4">
                  <c:v>2.9629629629629628E-3</c:v>
                </c:pt>
                <c:pt idx="5">
                  <c:v>2.7027027027027029E-3</c:v>
                </c:pt>
                <c:pt idx="6">
                  <c:v>2.4113475177304964E-3</c:v>
                </c:pt>
                <c:pt idx="7">
                  <c:v>2.1505376344086021E-3</c:v>
                </c:pt>
                <c:pt idx="8">
                  <c:v>1.7886178861788618E-3</c:v>
                </c:pt>
                <c:pt idx="9">
                  <c:v>1.6339869281045752E-3</c:v>
                </c:pt>
                <c:pt idx="10">
                  <c:v>1.8779342723004694E-3</c:v>
                </c:pt>
                <c:pt idx="11">
                  <c:v>1.736111111111111E-3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1-4D3F-B7C5-14332E3EB7AC}"/>
            </c:ext>
          </c:extLst>
        </c:ser>
        <c:ser>
          <c:idx val="2"/>
          <c:order val="2"/>
          <c:tx>
            <c:strRef>
              <c:f>'S75'!$J$1</c:f>
              <c:strCache>
                <c:ptCount val="1"/>
                <c:pt idx="0">
                  <c:v>power per cost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'S75'!$B$2:$B$15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'S75'!$J$2:$J$15</c:f>
              <c:numCache>
                <c:formatCode>General</c:formatCode>
                <c:ptCount val="14"/>
                <c:pt idx="0">
                  <c:v>6.6666666666666666E-2</c:v>
                </c:pt>
                <c:pt idx="1">
                  <c:v>8.5057471264367829E-2</c:v>
                </c:pt>
                <c:pt idx="2">
                  <c:v>0.10098039215686275</c:v>
                </c:pt>
                <c:pt idx="3">
                  <c:v>0.10833333333333332</c:v>
                </c:pt>
                <c:pt idx="4">
                  <c:v>0.11666666666666668</c:v>
                </c:pt>
                <c:pt idx="5">
                  <c:v>0.11216216216216218</c:v>
                </c:pt>
                <c:pt idx="6">
                  <c:v>0.1099290780141844</c:v>
                </c:pt>
                <c:pt idx="7">
                  <c:v>0.10349462365591398</c:v>
                </c:pt>
                <c:pt idx="8">
                  <c:v>9.3699186991869909E-2</c:v>
                </c:pt>
                <c:pt idx="9">
                  <c:v>9.0032679738562091E-2</c:v>
                </c:pt>
                <c:pt idx="10">
                  <c:v>8.7558685446009393E-2</c:v>
                </c:pt>
                <c:pt idx="11">
                  <c:v>8.2118055555555555E-2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01-4D3F-B7C5-14332E3EB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17696"/>
        <c:axId val="1272385344"/>
      </c:scatterChart>
      <c:valAx>
        <c:axId val="12729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85344"/>
        <c:crosses val="autoZero"/>
        <c:crossBetween val="midCat"/>
      </c:valAx>
      <c:valAx>
        <c:axId val="12723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M92F!$H$1</c:f>
              <c:strCache>
                <c:ptCount val="1"/>
                <c:pt idx="0">
                  <c:v>bullets per 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M92F!$B$2:$B$15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M92F!$H$2:$H$15</c:f>
              <c:numCache>
                <c:formatCode>General</c:formatCode>
                <c:ptCount val="14"/>
                <c:pt idx="0">
                  <c:v>5.5555555555555558E-3</c:v>
                </c:pt>
                <c:pt idx="1">
                  <c:v>1.0574712643678161E-2</c:v>
                </c:pt>
                <c:pt idx="2">
                  <c:v>1.5294117647058824E-2</c:v>
                </c:pt>
                <c:pt idx="3">
                  <c:v>2.017094017094017E-2</c:v>
                </c:pt>
                <c:pt idx="4">
                  <c:v>2.5454545454545455E-2</c:v>
                </c:pt>
                <c:pt idx="5">
                  <c:v>2.8148148148148148E-2</c:v>
                </c:pt>
                <c:pt idx="6">
                  <c:v>3.0624999999999999E-2</c:v>
                </c:pt>
                <c:pt idx="7">
                  <c:v>3.3153153153153155E-2</c:v>
                </c:pt>
                <c:pt idx="8">
                  <c:v>3.1773049645390072E-2</c:v>
                </c:pt>
                <c:pt idx="9">
                  <c:v>3.1461988304093566E-2</c:v>
                </c:pt>
                <c:pt idx="10">
                  <c:v>2.7619047619047619E-2</c:v>
                </c:pt>
                <c:pt idx="11">
                  <c:v>2.477124183006536E-2</c:v>
                </c:pt>
                <c:pt idx="12">
                  <c:v>2.3569553805774277E-2</c:v>
                </c:pt>
                <c:pt idx="13">
                  <c:v>1.9572192513368985E-2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D9-4BD7-AAC5-063C3F752641}"/>
            </c:ext>
          </c:extLst>
        </c:ser>
        <c:ser>
          <c:idx val="1"/>
          <c:order val="1"/>
          <c:tx>
            <c:strRef>
              <c:f>M92F!$I$1</c:f>
              <c:strCache>
                <c:ptCount val="1"/>
                <c:pt idx="0">
                  <c:v>extra bullets per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M92F!$B$2:$B$15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M92F!$I$2:$I$15</c:f>
              <c:numCache>
                <c:formatCode>General</c:formatCode>
                <c:ptCount val="14"/>
                <c:pt idx="0">
                  <c:v>5.5555555555555558E-3</c:v>
                </c:pt>
                <c:pt idx="1">
                  <c:v>5.9770114942528738E-3</c:v>
                </c:pt>
                <c:pt idx="2">
                  <c:v>6.2745098039215684E-3</c:v>
                </c:pt>
                <c:pt idx="3">
                  <c:v>6.8376068376068376E-3</c:v>
                </c:pt>
                <c:pt idx="4">
                  <c:v>7.575757575757576E-3</c:v>
                </c:pt>
                <c:pt idx="5">
                  <c:v>7.4074074074074077E-3</c:v>
                </c:pt>
                <c:pt idx="6">
                  <c:v>6.875E-3</c:v>
                </c:pt>
                <c:pt idx="7">
                  <c:v>6.6666666666666671E-3</c:v>
                </c:pt>
                <c:pt idx="8">
                  <c:v>5.6737588652482273E-3</c:v>
                </c:pt>
                <c:pt idx="9">
                  <c:v>5.263157894736842E-3</c:v>
                </c:pt>
                <c:pt idx="10">
                  <c:v>4.329004329004329E-3</c:v>
                </c:pt>
                <c:pt idx="11">
                  <c:v>3.9215686274509803E-3</c:v>
                </c:pt>
                <c:pt idx="12">
                  <c:v>3.6745406824146981E-3</c:v>
                </c:pt>
                <c:pt idx="13">
                  <c:v>3.5650623885918001E-3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D9-4BD7-AAC5-063C3F752641}"/>
            </c:ext>
          </c:extLst>
        </c:ser>
        <c:ser>
          <c:idx val="2"/>
          <c:order val="2"/>
          <c:tx>
            <c:strRef>
              <c:f>M92F!$J$1</c:f>
              <c:strCache>
                <c:ptCount val="1"/>
                <c:pt idx="0">
                  <c:v>power per cost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M92F!$B$2:$B$15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M92F!$J$2:$J$15</c:f>
              <c:numCache>
                <c:formatCode>General</c:formatCode>
                <c:ptCount val="14"/>
                <c:pt idx="0">
                  <c:v>2.6666666666666668E-2</c:v>
                </c:pt>
                <c:pt idx="1">
                  <c:v>3.5586206896551724E-2</c:v>
                </c:pt>
                <c:pt idx="2">
                  <c:v>4.3647058823529414E-2</c:v>
                </c:pt>
                <c:pt idx="3">
                  <c:v>5.2820512820512817E-2</c:v>
                </c:pt>
                <c:pt idx="4">
                  <c:v>6.3181818181818186E-2</c:v>
                </c:pt>
                <c:pt idx="5">
                  <c:v>6.6666666666666666E-2</c:v>
                </c:pt>
                <c:pt idx="6">
                  <c:v>6.8624999999999992E-2</c:v>
                </c:pt>
                <c:pt idx="7">
                  <c:v>7.1729729729729727E-2</c:v>
                </c:pt>
                <c:pt idx="8">
                  <c:v>6.6382978723404248E-2</c:v>
                </c:pt>
                <c:pt idx="9">
                  <c:v>6.4561403508771931E-2</c:v>
                </c:pt>
                <c:pt idx="10">
                  <c:v>5.5714285714285723E-2</c:v>
                </c:pt>
                <c:pt idx="11">
                  <c:v>5.0098039215686271E-2</c:v>
                </c:pt>
                <c:pt idx="12">
                  <c:v>4.7480314960629925E-2</c:v>
                </c:pt>
                <c:pt idx="13">
                  <c:v>4.1122994652406417E-2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D9-4BD7-AAC5-063C3F752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17696"/>
        <c:axId val="1272385344"/>
      </c:scatterChart>
      <c:valAx>
        <c:axId val="12729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85344"/>
        <c:crosses val="autoZero"/>
        <c:crossBetween val="midCat"/>
      </c:valAx>
      <c:valAx>
        <c:axId val="12723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'MP5'!$H$1</c:f>
              <c:strCache>
                <c:ptCount val="1"/>
                <c:pt idx="0">
                  <c:v>bullets per 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'MP5'!$B$2:$B$15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'MP5'!$H$2:$H$15</c:f>
              <c:numCache>
                <c:formatCode>General</c:formatCode>
                <c:ptCount val="14"/>
                <c:pt idx="0">
                  <c:v>2.5000000000000001E-2</c:v>
                </c:pt>
                <c:pt idx="1">
                  <c:v>4.5977011494252873E-2</c:v>
                </c:pt>
                <c:pt idx="2">
                  <c:v>6.4705882352941183E-2</c:v>
                </c:pt>
                <c:pt idx="3">
                  <c:v>7.4242424242424249E-2</c:v>
                </c:pt>
                <c:pt idx="4">
                  <c:v>6.9791666666666669E-2</c:v>
                </c:pt>
                <c:pt idx="5">
                  <c:v>6.9047619047619052E-2</c:v>
                </c:pt>
                <c:pt idx="6">
                  <c:v>6.3742690058479531E-2</c:v>
                </c:pt>
                <c:pt idx="7">
                  <c:v>5.7575757575757579E-2</c:v>
                </c:pt>
                <c:pt idx="8">
                  <c:v>5.4639175257731959E-2</c:v>
                </c:pt>
                <c:pt idx="9">
                  <c:v>4.9606299212598425E-2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57-4D2B-AE3F-5747762C38A1}"/>
            </c:ext>
          </c:extLst>
        </c:ser>
        <c:ser>
          <c:idx val="1"/>
          <c:order val="1"/>
          <c:tx>
            <c:strRef>
              <c:f>'MP5'!$I$1</c:f>
              <c:strCache>
                <c:ptCount val="1"/>
                <c:pt idx="0">
                  <c:v>extra bullets per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'MP5'!$B$2:$B$15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'MP5'!$I$2:$I$15</c:f>
              <c:numCache>
                <c:formatCode>General</c:formatCode>
                <c:ptCount val="14"/>
                <c:pt idx="0">
                  <c:v>2.5000000000000001E-2</c:v>
                </c:pt>
                <c:pt idx="1">
                  <c:v>2.528735632183908E-2</c:v>
                </c:pt>
                <c:pt idx="2">
                  <c:v>2.5490196078431372E-2</c:v>
                </c:pt>
                <c:pt idx="3">
                  <c:v>2.4242424242424242E-2</c:v>
                </c:pt>
                <c:pt idx="4">
                  <c:v>1.8749999999999999E-2</c:v>
                </c:pt>
                <c:pt idx="5">
                  <c:v>1.5873015873015872E-2</c:v>
                </c:pt>
                <c:pt idx="6">
                  <c:v>1.2865497076023392E-2</c:v>
                </c:pt>
                <c:pt idx="7">
                  <c:v>1.038961038961039E-2</c:v>
                </c:pt>
                <c:pt idx="8">
                  <c:v>8.9347079037800682E-3</c:v>
                </c:pt>
                <c:pt idx="9">
                  <c:v>7.874015748031496E-3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57-4D2B-AE3F-5747762C38A1}"/>
            </c:ext>
          </c:extLst>
        </c:ser>
        <c:ser>
          <c:idx val="2"/>
          <c:order val="2"/>
          <c:tx>
            <c:strRef>
              <c:f>'MP5'!$J$1</c:f>
              <c:strCache>
                <c:ptCount val="1"/>
                <c:pt idx="0">
                  <c:v>power per cost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'MP5'!$B$2:$B$15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'MP5'!$J$2:$J$15</c:f>
              <c:numCache>
                <c:formatCode>General</c:formatCode>
                <c:ptCount val="14"/>
                <c:pt idx="0">
                  <c:v>6.25E-2</c:v>
                </c:pt>
                <c:pt idx="1">
                  <c:v>7.5632183908045977E-2</c:v>
                </c:pt>
                <c:pt idx="2">
                  <c:v>8.7254901960784323E-2</c:v>
                </c:pt>
                <c:pt idx="3">
                  <c:v>9.0606060606060621E-2</c:v>
                </c:pt>
                <c:pt idx="4">
                  <c:v>7.7499999999999999E-2</c:v>
                </c:pt>
                <c:pt idx="5">
                  <c:v>7.1587301587301588E-2</c:v>
                </c:pt>
                <c:pt idx="6">
                  <c:v>6.2690058479532171E-2</c:v>
                </c:pt>
                <c:pt idx="7">
                  <c:v>5.4285714285714291E-2</c:v>
                </c:pt>
                <c:pt idx="8">
                  <c:v>4.9759450171821304E-2</c:v>
                </c:pt>
                <c:pt idx="9">
                  <c:v>4.4724409448818898E-2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57-4D2B-AE3F-5747762C3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17696"/>
        <c:axId val="1272385344"/>
      </c:scatterChart>
      <c:valAx>
        <c:axId val="12729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85344"/>
        <c:crosses val="autoZero"/>
        <c:crossBetween val="midCat"/>
      </c:valAx>
      <c:valAx>
        <c:axId val="12723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'VZ61 crit'!$H$1</c:f>
              <c:strCache>
                <c:ptCount val="1"/>
                <c:pt idx="0">
                  <c:v>bullets per 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'VZ61 crit'!$B$2:$B$15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'VZ61 crit'!$H$2:$H$15</c:f>
              <c:numCache>
                <c:formatCode>General</c:formatCode>
                <c:ptCount val="14"/>
                <c:pt idx="0">
                  <c:v>9.0090090090090089E-3</c:v>
                </c:pt>
                <c:pt idx="1">
                  <c:v>1.8565400843881856E-2</c:v>
                </c:pt>
                <c:pt idx="2">
                  <c:v>3.0158730158730159E-2</c:v>
                </c:pt>
                <c:pt idx="3">
                  <c:v>4.1134751773049642E-2</c:v>
                </c:pt>
                <c:pt idx="4">
                  <c:v>5.2564102564102565E-2</c:v>
                </c:pt>
                <c:pt idx="5">
                  <c:v>6.1624649859943981E-2</c:v>
                </c:pt>
                <c:pt idx="6">
                  <c:v>7.0646766169154232E-2</c:v>
                </c:pt>
                <c:pt idx="7">
                  <c:v>7.7056277056277059E-2</c:v>
                </c:pt>
                <c:pt idx="8">
                  <c:v>7.8985507246376818E-2</c:v>
                </c:pt>
                <c:pt idx="9">
                  <c:v>7.7976190476190477E-2</c:v>
                </c:pt>
                <c:pt idx="10">
                  <c:v>7.5425790754257913E-2</c:v>
                </c:pt>
                <c:pt idx="11">
                  <c:v>7.2255489021956082E-2</c:v>
                </c:pt>
                <c:pt idx="12">
                  <c:v>6.8976897689768973E-2</c:v>
                </c:pt>
                <c:pt idx="13">
                  <c:v>6.322751322751323E-2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9-4B4E-BB0B-32B891BBD8E1}"/>
            </c:ext>
          </c:extLst>
        </c:ser>
        <c:ser>
          <c:idx val="1"/>
          <c:order val="1"/>
          <c:tx>
            <c:strRef>
              <c:f>'VZ61 crit'!$I$1</c:f>
              <c:strCache>
                <c:ptCount val="1"/>
                <c:pt idx="0">
                  <c:v>extra bullets per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'VZ61 crit'!$B$2:$B$15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'VZ61 crit'!$I$2:$I$15</c:f>
              <c:numCache>
                <c:formatCode>General</c:formatCode>
                <c:ptCount val="14"/>
                <c:pt idx="0">
                  <c:v>9.0090090090090089E-3</c:v>
                </c:pt>
                <c:pt idx="1">
                  <c:v>1.0126582278481013E-2</c:v>
                </c:pt>
                <c:pt idx="2">
                  <c:v>1.2698412698412698E-2</c:v>
                </c:pt>
                <c:pt idx="3">
                  <c:v>1.4184397163120567E-2</c:v>
                </c:pt>
                <c:pt idx="4">
                  <c:v>1.5384615384615385E-2</c:v>
                </c:pt>
                <c:pt idx="5">
                  <c:v>1.5686274509803921E-2</c:v>
                </c:pt>
                <c:pt idx="6">
                  <c:v>1.5920398009950248E-2</c:v>
                </c:pt>
                <c:pt idx="7">
                  <c:v>1.5584415584415584E-2</c:v>
                </c:pt>
                <c:pt idx="8">
                  <c:v>1.4492753623188406E-2</c:v>
                </c:pt>
                <c:pt idx="9">
                  <c:v>1.3095238095238096E-2</c:v>
                </c:pt>
                <c:pt idx="10">
                  <c:v>1.167883211678832E-2</c:v>
                </c:pt>
                <c:pt idx="11">
                  <c:v>1.0379241516966068E-2</c:v>
                </c:pt>
                <c:pt idx="12">
                  <c:v>9.240924092409241E-3</c:v>
                </c:pt>
                <c:pt idx="13">
                  <c:v>7.9365079365079361E-3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59-4B4E-BB0B-32B891BBD8E1}"/>
            </c:ext>
          </c:extLst>
        </c:ser>
        <c:ser>
          <c:idx val="2"/>
          <c:order val="2"/>
          <c:tx>
            <c:strRef>
              <c:f>'VZ61 crit'!$J$1</c:f>
              <c:strCache>
                <c:ptCount val="1"/>
                <c:pt idx="0">
                  <c:v>power per cost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'VZ61 crit'!$B$2:$B$15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'VZ61 crit'!$J$2:$J$15</c:f>
              <c:numCache>
                <c:formatCode>General</c:formatCode>
                <c:ptCount val="14"/>
                <c:pt idx="0">
                  <c:v>2.2522522522522525E-2</c:v>
                </c:pt>
                <c:pt idx="1">
                  <c:v>2.9535864978902957E-2</c:v>
                </c:pt>
                <c:pt idx="2">
                  <c:v>4.0476190476190471E-2</c:v>
                </c:pt>
                <c:pt idx="3">
                  <c:v>4.8936170212765952E-2</c:v>
                </c:pt>
                <c:pt idx="4">
                  <c:v>5.705128205128205E-2</c:v>
                </c:pt>
                <c:pt idx="5">
                  <c:v>6.2184873949579833E-2</c:v>
                </c:pt>
                <c:pt idx="6">
                  <c:v>6.7164179104477612E-2</c:v>
                </c:pt>
                <c:pt idx="7">
                  <c:v>6.9696969696969702E-2</c:v>
                </c:pt>
                <c:pt idx="8">
                  <c:v>6.8478260869565211E-2</c:v>
                </c:pt>
                <c:pt idx="9">
                  <c:v>6.5178571428571419E-2</c:v>
                </c:pt>
                <c:pt idx="10">
                  <c:v>6.1070559610705594E-2</c:v>
                </c:pt>
                <c:pt idx="11">
                  <c:v>5.6886227544910177E-2</c:v>
                </c:pt>
                <c:pt idx="12">
                  <c:v>5.2970297029702962E-2</c:v>
                </c:pt>
                <c:pt idx="13">
                  <c:v>4.7486772486772487E-2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59-4B4E-BB0B-32B891BBD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17696"/>
        <c:axId val="1272385344"/>
      </c:scatterChart>
      <c:valAx>
        <c:axId val="12729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85344"/>
        <c:crosses val="autoZero"/>
        <c:crossBetween val="midCat"/>
      </c:valAx>
      <c:valAx>
        <c:axId val="12723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'VZ61 crit (2)'!$H$1</c:f>
              <c:strCache>
                <c:ptCount val="1"/>
                <c:pt idx="0">
                  <c:v>bullets per 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'VZ61 crit (2)'!$B$2:$B$15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'VZ61 crit (2)'!$H$2:$H$15</c:f>
              <c:numCache>
                <c:formatCode>General</c:formatCode>
                <c:ptCount val="14"/>
                <c:pt idx="0">
                  <c:v>2.976190476190476E-3</c:v>
                </c:pt>
                <c:pt idx="1">
                  <c:v>6.4046579330422123E-3</c:v>
                </c:pt>
                <c:pt idx="2">
                  <c:v>1.0826210826210826E-2</c:v>
                </c:pt>
                <c:pt idx="3">
                  <c:v>1.5846994535519125E-2</c:v>
                </c:pt>
                <c:pt idx="4">
                  <c:v>2.1522309711286089E-2</c:v>
                </c:pt>
                <c:pt idx="5">
                  <c:v>2.7261462205700124E-2</c:v>
                </c:pt>
                <c:pt idx="6">
                  <c:v>3.3333333333333333E-2</c:v>
                </c:pt>
                <c:pt idx="7">
                  <c:v>3.9035087719298249E-2</c:v>
                </c:pt>
                <c:pt idx="8">
                  <c:v>4.3512974051896205E-2</c:v>
                </c:pt>
                <c:pt idx="9">
                  <c:v>4.6702317290552582E-2</c:v>
                </c:pt>
                <c:pt idx="10">
                  <c:v>4.8742138364779877E-2</c:v>
                </c:pt>
                <c:pt idx="11">
                  <c:v>4.9862258953168044E-2</c:v>
                </c:pt>
                <c:pt idx="12">
                  <c:v>5.0300842358604089E-2</c:v>
                </c:pt>
                <c:pt idx="13">
                  <c:v>4.8725790010193677E-2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C-4254-8EBA-694829749327}"/>
            </c:ext>
          </c:extLst>
        </c:ser>
        <c:ser>
          <c:idx val="1"/>
          <c:order val="1"/>
          <c:tx>
            <c:strRef>
              <c:f>'VZ61 crit (2)'!$I$1</c:f>
              <c:strCache>
                <c:ptCount val="1"/>
                <c:pt idx="0">
                  <c:v>extra bullets per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'VZ61 crit (2)'!$B$2:$B$15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'VZ61 crit (2)'!$I$2:$I$15</c:f>
              <c:numCache>
                <c:formatCode>General</c:formatCode>
                <c:ptCount val="14"/>
                <c:pt idx="0">
                  <c:v>2.976190476190476E-3</c:v>
                </c:pt>
                <c:pt idx="1">
                  <c:v>3.4934497816593887E-3</c:v>
                </c:pt>
                <c:pt idx="2">
                  <c:v>4.5584045584045581E-3</c:v>
                </c:pt>
                <c:pt idx="3">
                  <c:v>5.4644808743169399E-3</c:v>
                </c:pt>
                <c:pt idx="4">
                  <c:v>6.2992125984251968E-3</c:v>
                </c:pt>
                <c:pt idx="5">
                  <c:v>6.9392812887236676E-3</c:v>
                </c:pt>
                <c:pt idx="6">
                  <c:v>7.5117370892018778E-3</c:v>
                </c:pt>
                <c:pt idx="7">
                  <c:v>7.8947368421052634E-3</c:v>
                </c:pt>
                <c:pt idx="8">
                  <c:v>7.9840319361277438E-3</c:v>
                </c:pt>
                <c:pt idx="9">
                  <c:v>7.8431372549019607E-3</c:v>
                </c:pt>
                <c:pt idx="10">
                  <c:v>7.5471698113207548E-3</c:v>
                </c:pt>
                <c:pt idx="11">
                  <c:v>7.1625344352617077E-3</c:v>
                </c:pt>
                <c:pt idx="12">
                  <c:v>6.7388688327316487E-3</c:v>
                </c:pt>
                <c:pt idx="13">
                  <c:v>6.1162079510703364E-3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6C-4254-8EBA-694829749327}"/>
            </c:ext>
          </c:extLst>
        </c:ser>
        <c:ser>
          <c:idx val="2"/>
          <c:order val="2"/>
          <c:tx>
            <c:strRef>
              <c:f>'VZ61 crit (2)'!$J$1</c:f>
              <c:strCache>
                <c:ptCount val="1"/>
                <c:pt idx="0">
                  <c:v>power per cost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'VZ61 crit (2)'!$B$2:$B$15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'VZ61 crit (2)'!$J$2:$J$15</c:f>
              <c:numCache>
                <c:formatCode>General</c:formatCode>
                <c:ptCount val="14"/>
                <c:pt idx="0">
                  <c:v>7.4404761904761909E-3</c:v>
                </c:pt>
                <c:pt idx="1">
                  <c:v>1.0189228529839882E-2</c:v>
                </c:pt>
                <c:pt idx="2">
                  <c:v>1.4529914529914529E-2</c:v>
                </c:pt>
                <c:pt idx="3">
                  <c:v>1.8852459016393444E-2</c:v>
                </c:pt>
                <c:pt idx="4">
                  <c:v>2.3359580052493438E-2</c:v>
                </c:pt>
                <c:pt idx="5">
                  <c:v>2.7509293680297399E-2</c:v>
                </c:pt>
                <c:pt idx="6">
                  <c:v>3.1690140845070422E-2</c:v>
                </c:pt>
                <c:pt idx="7">
                  <c:v>3.5307017543859648E-2</c:v>
                </c:pt>
                <c:pt idx="8">
                  <c:v>3.772455089820359E-2</c:v>
                </c:pt>
                <c:pt idx="9">
                  <c:v>3.9037433155080209E-2</c:v>
                </c:pt>
                <c:pt idx="10">
                  <c:v>3.9465408805031445E-2</c:v>
                </c:pt>
                <c:pt idx="11">
                  <c:v>3.9256198347107446E-2</c:v>
                </c:pt>
                <c:pt idx="12">
                  <c:v>3.8628158844765344E-2</c:v>
                </c:pt>
                <c:pt idx="13">
                  <c:v>3.6595310907237513E-2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6C-4254-8EBA-694829749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17696"/>
        <c:axId val="1272385344"/>
      </c:scatterChart>
      <c:valAx>
        <c:axId val="12729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85344"/>
        <c:crosses val="autoZero"/>
        <c:crossBetween val="midCat"/>
      </c:valAx>
      <c:valAx>
        <c:axId val="12723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1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1276350</xdr:colOff>
      <xdr:row>9</xdr:row>
      <xdr:rowOff>185737</xdr:rowOff>
    </xdr:from>
    <xdr:to>
      <xdr:col>21</xdr:col>
      <xdr:colOff>571500</xdr:colOff>
      <xdr:row>24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3C474A-271E-0D7B-09B4-CAB20D3DD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1276350</xdr:colOff>
      <xdr:row>9</xdr:row>
      <xdr:rowOff>185737</xdr:rowOff>
    </xdr:from>
    <xdr:to>
      <xdr:col>21</xdr:col>
      <xdr:colOff>571500</xdr:colOff>
      <xdr:row>24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09A98-21AF-4D7A-A6EA-7ECD22DDD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1276350</xdr:colOff>
      <xdr:row>9</xdr:row>
      <xdr:rowOff>185737</xdr:rowOff>
    </xdr:from>
    <xdr:to>
      <xdr:col>21</xdr:col>
      <xdr:colOff>571500</xdr:colOff>
      <xdr:row>24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AFF2E-0141-4B44-A014-AE86426D0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1276350</xdr:colOff>
      <xdr:row>9</xdr:row>
      <xdr:rowOff>185737</xdr:rowOff>
    </xdr:from>
    <xdr:to>
      <xdr:col>21</xdr:col>
      <xdr:colOff>571500</xdr:colOff>
      <xdr:row>24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23F0E-908D-4EF6-81D7-530D5C731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1276350</xdr:colOff>
      <xdr:row>9</xdr:row>
      <xdr:rowOff>185737</xdr:rowOff>
    </xdr:from>
    <xdr:to>
      <xdr:col>21</xdr:col>
      <xdr:colOff>571500</xdr:colOff>
      <xdr:row>24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1EBCE-0A1A-4A18-B5DA-3FA6D9310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1276350</xdr:colOff>
      <xdr:row>9</xdr:row>
      <xdr:rowOff>185737</xdr:rowOff>
    </xdr:from>
    <xdr:to>
      <xdr:col>21</xdr:col>
      <xdr:colOff>571500</xdr:colOff>
      <xdr:row>24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4A5D4-0A19-4139-9951-D20244AB0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1276350</xdr:colOff>
      <xdr:row>9</xdr:row>
      <xdr:rowOff>185737</xdr:rowOff>
    </xdr:from>
    <xdr:to>
      <xdr:col>21</xdr:col>
      <xdr:colOff>571500</xdr:colOff>
      <xdr:row>24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5AD09-D39B-48CB-B78E-377907DFC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F073-2E2A-49C6-8311-EB0DC19B3EF3}">
  <dimension ref="B1:M15"/>
  <sheetViews>
    <sheetView topLeftCell="L10" workbookViewId="0">
      <selection activeCell="G2" sqref="G2:G15"/>
    </sheetView>
  </sheetViews>
  <sheetFormatPr defaultRowHeight="14.25" x14ac:dyDescent="0.45"/>
  <cols>
    <col min="8" max="8" width="14.59765625" bestFit="1" customWidth="1"/>
    <col min="9" max="9" width="19.3984375" bestFit="1" customWidth="1"/>
    <col min="12" max="12" width="12.265625" bestFit="1" customWidth="1"/>
    <col min="13" max="13" width="19.73046875" bestFit="1" customWidth="1"/>
  </cols>
  <sheetData>
    <row r="1" spans="2:13" x14ac:dyDescent="0.45">
      <c r="B1" t="s">
        <v>6</v>
      </c>
      <c r="C1" t="s">
        <v>0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L1" t="s">
        <v>8</v>
      </c>
      <c r="M1" t="s">
        <v>9</v>
      </c>
    </row>
    <row r="2" spans="2:13" x14ac:dyDescent="0.45">
      <c r="B2">
        <v>1</v>
      </c>
      <c r="C2">
        <v>50</v>
      </c>
      <c r="D2">
        <v>2000</v>
      </c>
      <c r="E2">
        <f>D2*0.9</f>
        <v>1800</v>
      </c>
      <c r="F2">
        <f>SUM(C$2:C2)</f>
        <v>50</v>
      </c>
      <c r="G2">
        <f>SUM(E$2:E2)</f>
        <v>1800</v>
      </c>
      <c r="H2">
        <f>F2/G2</f>
        <v>2.7777777777777776E-2</v>
      </c>
      <c r="I2">
        <f t="shared" ref="I2:I15" si="0">C2/G2</f>
        <v>2.7777777777777776E-2</v>
      </c>
      <c r="J2">
        <f>($L$2*H2+($M$2-$L$2)*I2)/100</f>
        <v>6.9444444444444448E-2</v>
      </c>
      <c r="L2">
        <f>50</f>
        <v>50</v>
      </c>
      <c r="M2">
        <f>250</f>
        <v>250</v>
      </c>
    </row>
    <row r="3" spans="2:13" x14ac:dyDescent="0.45">
      <c r="B3">
        <v>2</v>
      </c>
      <c r="C3">
        <v>60</v>
      </c>
      <c r="D3">
        <v>500</v>
      </c>
      <c r="E3">
        <f>D3*0.75</f>
        <v>375</v>
      </c>
      <c r="F3">
        <f>SUM(C$2:C3)</f>
        <v>110</v>
      </c>
      <c r="G3">
        <f>SUM(E$2:E3)</f>
        <v>2175</v>
      </c>
      <c r="H3">
        <f t="shared" ref="H3:H15" si="1">F3/G3</f>
        <v>5.057471264367816E-2</v>
      </c>
      <c r="I3">
        <f t="shared" si="0"/>
        <v>2.7586206896551724E-2</v>
      </c>
      <c r="J3">
        <f t="shared" ref="J3:J15" si="2">($L$2*H3+($M$2-$L$2)*I3)/100</f>
        <v>8.0459770114942528E-2</v>
      </c>
    </row>
    <row r="4" spans="2:13" x14ac:dyDescent="0.45">
      <c r="B4">
        <v>3</v>
      </c>
      <c r="C4">
        <v>80</v>
      </c>
      <c r="D4">
        <v>500</v>
      </c>
      <c r="E4">
        <f t="shared" ref="E4:E15" si="3">D4*0.75</f>
        <v>375</v>
      </c>
      <c r="F4">
        <f>SUM(C$2:C4)</f>
        <v>190</v>
      </c>
      <c r="G4">
        <f>SUM(E$2:E4)</f>
        <v>2550</v>
      </c>
      <c r="H4">
        <f t="shared" si="1"/>
        <v>7.4509803921568626E-2</v>
      </c>
      <c r="I4">
        <f t="shared" si="0"/>
        <v>3.1372549019607843E-2</v>
      </c>
      <c r="J4">
        <f t="shared" si="2"/>
        <v>0.1</v>
      </c>
    </row>
    <row r="5" spans="2:13" x14ac:dyDescent="0.45">
      <c r="B5">
        <v>4</v>
      </c>
      <c r="C5">
        <v>100</v>
      </c>
      <c r="D5">
        <v>1000</v>
      </c>
      <c r="E5">
        <f t="shared" si="3"/>
        <v>750</v>
      </c>
      <c r="F5">
        <f>SUM(C$2:C5)</f>
        <v>290</v>
      </c>
      <c r="G5">
        <f>SUM(E$2:E5)</f>
        <v>3300</v>
      </c>
      <c r="H5">
        <f t="shared" si="1"/>
        <v>8.7878787878787876E-2</v>
      </c>
      <c r="I5">
        <f t="shared" si="0"/>
        <v>3.0303030303030304E-2</v>
      </c>
      <c r="J5">
        <f t="shared" si="2"/>
        <v>0.10454545454545454</v>
      </c>
    </row>
    <row r="6" spans="2:13" x14ac:dyDescent="0.45">
      <c r="B6">
        <v>5</v>
      </c>
      <c r="C6">
        <v>120</v>
      </c>
      <c r="D6">
        <v>1000</v>
      </c>
      <c r="E6">
        <f t="shared" si="3"/>
        <v>750</v>
      </c>
      <c r="F6">
        <f>SUM(C$2:C6)</f>
        <v>410</v>
      </c>
      <c r="G6">
        <f>SUM(E$2:E6)</f>
        <v>4050</v>
      </c>
      <c r="H6">
        <f t="shared" si="1"/>
        <v>0.10123456790123457</v>
      </c>
      <c r="I6">
        <f t="shared" si="0"/>
        <v>2.9629629629629631E-2</v>
      </c>
      <c r="J6">
        <f t="shared" si="2"/>
        <v>0.10987654320987655</v>
      </c>
    </row>
    <row r="7" spans="2:13" x14ac:dyDescent="0.45">
      <c r="B7">
        <v>6</v>
      </c>
      <c r="C7">
        <v>140</v>
      </c>
      <c r="D7">
        <v>1500</v>
      </c>
      <c r="E7">
        <f t="shared" si="3"/>
        <v>1125</v>
      </c>
      <c r="F7">
        <f>SUM(C$2:C7)</f>
        <v>550</v>
      </c>
      <c r="G7">
        <f>SUM(E$2:E7)</f>
        <v>5175</v>
      </c>
      <c r="H7">
        <f t="shared" si="1"/>
        <v>0.10628019323671498</v>
      </c>
      <c r="I7">
        <f t="shared" si="0"/>
        <v>2.7053140096618359E-2</v>
      </c>
      <c r="J7">
        <f t="shared" si="2"/>
        <v>0.1072463768115942</v>
      </c>
    </row>
    <row r="8" spans="2:13" x14ac:dyDescent="0.45">
      <c r="B8">
        <v>7</v>
      </c>
      <c r="C8">
        <v>160</v>
      </c>
      <c r="D8">
        <v>1500</v>
      </c>
      <c r="E8">
        <f t="shared" si="3"/>
        <v>1125</v>
      </c>
      <c r="F8">
        <f>SUM(C$2:C8)</f>
        <v>710</v>
      </c>
      <c r="G8">
        <f>SUM(E$2:E8)</f>
        <v>6300</v>
      </c>
      <c r="H8">
        <f t="shared" si="1"/>
        <v>0.1126984126984127</v>
      </c>
      <c r="I8">
        <f t="shared" si="0"/>
        <v>2.5396825396825397E-2</v>
      </c>
      <c r="J8">
        <f t="shared" si="2"/>
        <v>0.10714285714285715</v>
      </c>
    </row>
    <row r="9" spans="2:13" x14ac:dyDescent="0.45">
      <c r="B9">
        <v>8</v>
      </c>
      <c r="C9">
        <v>180</v>
      </c>
      <c r="D9">
        <v>2000</v>
      </c>
      <c r="E9">
        <f t="shared" si="3"/>
        <v>1500</v>
      </c>
      <c r="F9">
        <f>SUM(C$2:C9)</f>
        <v>890</v>
      </c>
      <c r="G9">
        <f>SUM(E$2:E9)</f>
        <v>7800</v>
      </c>
      <c r="H9">
        <f t="shared" si="1"/>
        <v>0.1141025641025641</v>
      </c>
      <c r="I9">
        <f t="shared" si="0"/>
        <v>2.3076923076923078E-2</v>
      </c>
      <c r="J9">
        <f t="shared" si="2"/>
        <v>0.10320512820512821</v>
      </c>
    </row>
    <row r="10" spans="2:13" x14ac:dyDescent="0.45">
      <c r="B10">
        <v>9</v>
      </c>
      <c r="C10">
        <v>200</v>
      </c>
      <c r="D10">
        <v>3000</v>
      </c>
      <c r="E10">
        <f t="shared" si="3"/>
        <v>2250</v>
      </c>
      <c r="F10">
        <f>SUM(C$2:C10)</f>
        <v>1090</v>
      </c>
      <c r="G10">
        <f>SUM(E$2:E10)</f>
        <v>10050</v>
      </c>
      <c r="H10">
        <f t="shared" si="1"/>
        <v>0.10845771144278607</v>
      </c>
      <c r="I10">
        <f t="shared" si="0"/>
        <v>1.9900497512437811E-2</v>
      </c>
      <c r="J10">
        <f t="shared" si="2"/>
        <v>9.4029850746268656E-2</v>
      </c>
    </row>
    <row r="11" spans="2:13" x14ac:dyDescent="0.45">
      <c r="B11">
        <v>10</v>
      </c>
      <c r="C11">
        <v>220</v>
      </c>
      <c r="D11">
        <v>4000</v>
      </c>
      <c r="E11">
        <f t="shared" si="3"/>
        <v>3000</v>
      </c>
      <c r="F11">
        <f>SUM(C$2:C11)</f>
        <v>1310</v>
      </c>
      <c r="G11">
        <f>SUM(E$2:E11)</f>
        <v>13050</v>
      </c>
      <c r="H11">
        <f t="shared" si="1"/>
        <v>0.10038314176245211</v>
      </c>
      <c r="I11">
        <f t="shared" si="0"/>
        <v>1.6858237547892719E-2</v>
      </c>
      <c r="J11">
        <f t="shared" si="2"/>
        <v>8.39080459770115E-2</v>
      </c>
    </row>
    <row r="12" spans="2:13" x14ac:dyDescent="0.45">
      <c r="B12">
        <v>11</v>
      </c>
      <c r="C12">
        <v>240</v>
      </c>
      <c r="D12">
        <v>5000</v>
      </c>
      <c r="E12">
        <f t="shared" si="3"/>
        <v>3750</v>
      </c>
      <c r="F12">
        <f>SUM(C$2:C12)</f>
        <v>1550</v>
      </c>
      <c r="G12">
        <f>SUM(E$2:E12)</f>
        <v>16800</v>
      </c>
      <c r="H12">
        <f t="shared" si="1"/>
        <v>9.2261904761904767E-2</v>
      </c>
      <c r="I12">
        <f t="shared" si="0"/>
        <v>1.4285714285714285E-2</v>
      </c>
      <c r="J12">
        <f t="shared" si="2"/>
        <v>7.4702380952380951E-2</v>
      </c>
    </row>
    <row r="13" spans="2:13" x14ac:dyDescent="0.45">
      <c r="B13">
        <v>12</v>
      </c>
      <c r="C13">
        <v>260</v>
      </c>
      <c r="D13">
        <v>6000</v>
      </c>
      <c r="E13">
        <f t="shared" si="3"/>
        <v>4500</v>
      </c>
      <c r="F13">
        <f>SUM(C$2:C13)</f>
        <v>1810</v>
      </c>
      <c r="G13">
        <f>SUM(E$2:E13)</f>
        <v>21300</v>
      </c>
      <c r="H13">
        <f t="shared" si="1"/>
        <v>8.4976525821596247E-2</v>
      </c>
      <c r="I13">
        <f t="shared" si="0"/>
        <v>1.2206572769953052E-2</v>
      </c>
      <c r="J13">
        <f t="shared" si="2"/>
        <v>6.6901408450704219E-2</v>
      </c>
    </row>
    <row r="14" spans="2:13" x14ac:dyDescent="0.45">
      <c r="B14">
        <v>13</v>
      </c>
      <c r="C14">
        <v>280</v>
      </c>
      <c r="D14">
        <v>7000</v>
      </c>
      <c r="E14">
        <f t="shared" si="3"/>
        <v>5250</v>
      </c>
      <c r="F14">
        <f>SUM(C$2:C14)</f>
        <v>2090</v>
      </c>
      <c r="G14">
        <f>SUM(E$2:E14)</f>
        <v>26550</v>
      </c>
      <c r="H14">
        <f t="shared" si="1"/>
        <v>7.8719397363465157E-2</v>
      </c>
      <c r="I14">
        <f t="shared" si="0"/>
        <v>1.0546139359698682E-2</v>
      </c>
      <c r="J14">
        <f t="shared" si="2"/>
        <v>6.0451977401129939E-2</v>
      </c>
    </row>
    <row r="15" spans="2:13" x14ac:dyDescent="0.45">
      <c r="B15">
        <v>14</v>
      </c>
      <c r="C15">
        <v>300</v>
      </c>
      <c r="D15">
        <v>10000</v>
      </c>
      <c r="E15">
        <f t="shared" si="3"/>
        <v>7500</v>
      </c>
      <c r="F15">
        <f>SUM(C$2:C15)</f>
        <v>2390</v>
      </c>
      <c r="G15">
        <f>SUM(E$2:E15)</f>
        <v>34050</v>
      </c>
      <c r="H15">
        <f t="shared" si="1"/>
        <v>7.0190895741556528E-2</v>
      </c>
      <c r="I15">
        <f t="shared" si="0"/>
        <v>8.8105726872246704E-3</v>
      </c>
      <c r="J15">
        <f t="shared" si="2"/>
        <v>5.2716593245227601E-2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62CF-D8C4-4D78-9AA6-289741106BFB}">
  <dimension ref="B1:M15"/>
  <sheetViews>
    <sheetView workbookViewId="0">
      <selection activeCell="G3" sqref="G3"/>
    </sheetView>
  </sheetViews>
  <sheetFormatPr defaultRowHeight="14.25" x14ac:dyDescent="0.45"/>
  <cols>
    <col min="8" max="8" width="14.59765625" bestFit="1" customWidth="1"/>
    <col min="9" max="9" width="19.3984375" bestFit="1" customWidth="1"/>
    <col min="12" max="12" width="12.265625" bestFit="1" customWidth="1"/>
    <col min="13" max="13" width="19.73046875" bestFit="1" customWidth="1"/>
  </cols>
  <sheetData>
    <row r="1" spans="2:13" x14ac:dyDescent="0.45">
      <c r="B1" t="s">
        <v>6</v>
      </c>
      <c r="C1" t="s">
        <v>0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L1" t="s">
        <v>8</v>
      </c>
      <c r="M1" t="s">
        <v>9</v>
      </c>
    </row>
    <row r="2" spans="2:13" x14ac:dyDescent="0.45">
      <c r="B2">
        <v>1</v>
      </c>
      <c r="C2">
        <v>6</v>
      </c>
      <c r="D2">
        <v>2000</v>
      </c>
      <c r="E2">
        <f>D2*0.9</f>
        <v>1800</v>
      </c>
      <c r="F2">
        <f>SUM(C$2:C2)</f>
        <v>6</v>
      </c>
      <c r="G2">
        <f>SUM(E$2:E2)</f>
        <v>1800</v>
      </c>
      <c r="H2">
        <f>F2/G2</f>
        <v>3.3333333333333335E-3</v>
      </c>
      <c r="I2">
        <f>C2/G2</f>
        <v>3.3333333333333335E-3</v>
      </c>
      <c r="J2">
        <f>($L$2*H2+($M$2-$L$2)*I2)/100</f>
        <v>0.03</v>
      </c>
      <c r="L2">
        <v>200</v>
      </c>
      <c r="M2">
        <v>900</v>
      </c>
    </row>
    <row r="3" spans="2:13" x14ac:dyDescent="0.45">
      <c r="B3">
        <v>2</v>
      </c>
      <c r="C3">
        <v>7</v>
      </c>
      <c r="D3">
        <v>500</v>
      </c>
      <c r="E3">
        <f>D3*0.75</f>
        <v>375</v>
      </c>
      <c r="F3">
        <f>SUM(C$2:C3)</f>
        <v>13</v>
      </c>
      <c r="G3">
        <f>SUM(E$2:E3)</f>
        <v>2175</v>
      </c>
      <c r="H3">
        <f t="shared" ref="H3:H15" si="0">F3/G3</f>
        <v>5.9770114942528738E-3</v>
      </c>
      <c r="I3">
        <f t="shared" ref="I3:I15" si="1">C3/G3</f>
        <v>3.2183908045977012E-3</v>
      </c>
      <c r="J3">
        <f t="shared" ref="J3:J15" si="2">($L$2*H3+($M$2-$L$2)*I3)/100</f>
        <v>3.4482758620689655E-2</v>
      </c>
    </row>
    <row r="4" spans="2:13" x14ac:dyDescent="0.45">
      <c r="B4">
        <v>3</v>
      </c>
      <c r="C4">
        <v>8</v>
      </c>
      <c r="D4">
        <v>500</v>
      </c>
      <c r="E4">
        <f t="shared" ref="E4:E15" si="3">D4*0.75</f>
        <v>375</v>
      </c>
      <c r="F4">
        <f>SUM(C$2:C4)</f>
        <v>21</v>
      </c>
      <c r="G4">
        <f>SUM(E$2:E4)</f>
        <v>2550</v>
      </c>
      <c r="H4">
        <f t="shared" si="0"/>
        <v>8.2352941176470594E-3</v>
      </c>
      <c r="I4">
        <f t="shared" si="1"/>
        <v>3.1372549019607842E-3</v>
      </c>
      <c r="J4">
        <f t="shared" si="2"/>
        <v>3.8431372549019606E-2</v>
      </c>
    </row>
    <row r="5" spans="2:13" x14ac:dyDescent="0.45">
      <c r="B5">
        <v>4</v>
      </c>
      <c r="C5">
        <v>9</v>
      </c>
      <c r="D5">
        <v>500</v>
      </c>
      <c r="E5">
        <f t="shared" si="3"/>
        <v>375</v>
      </c>
      <c r="F5">
        <f>SUM(C$2:C5)</f>
        <v>30</v>
      </c>
      <c r="G5">
        <f>SUM(E$2:E5)</f>
        <v>2925</v>
      </c>
      <c r="H5">
        <f t="shared" si="0"/>
        <v>1.0256410256410256E-2</v>
      </c>
      <c r="I5">
        <f t="shared" si="1"/>
        <v>3.0769230769230769E-3</v>
      </c>
      <c r="J5">
        <f t="shared" si="2"/>
        <v>4.2051282051282043E-2</v>
      </c>
    </row>
    <row r="6" spans="2:13" x14ac:dyDescent="0.45">
      <c r="B6">
        <v>5</v>
      </c>
      <c r="C6">
        <v>10</v>
      </c>
      <c r="D6">
        <v>500</v>
      </c>
      <c r="E6">
        <f t="shared" si="3"/>
        <v>375</v>
      </c>
      <c r="F6">
        <f>SUM(C$2:C6)</f>
        <v>40</v>
      </c>
      <c r="G6">
        <f>SUM(E$2:E6)</f>
        <v>3300</v>
      </c>
      <c r="H6">
        <f t="shared" si="0"/>
        <v>1.2121212121212121E-2</v>
      </c>
      <c r="I6">
        <f t="shared" si="1"/>
        <v>3.0303030303030303E-3</v>
      </c>
      <c r="J6">
        <f t="shared" si="2"/>
        <v>4.5454545454545449E-2</v>
      </c>
    </row>
    <row r="7" spans="2:13" x14ac:dyDescent="0.45">
      <c r="B7">
        <v>6</v>
      </c>
      <c r="C7">
        <v>12</v>
      </c>
      <c r="D7">
        <v>1000</v>
      </c>
      <c r="E7">
        <f t="shared" si="3"/>
        <v>750</v>
      </c>
      <c r="F7">
        <f>SUM(C$2:C7)</f>
        <v>52</v>
      </c>
      <c r="G7">
        <f>SUM(E$2:E7)</f>
        <v>4050</v>
      </c>
      <c r="H7">
        <f t="shared" si="0"/>
        <v>1.2839506172839505E-2</v>
      </c>
      <c r="I7">
        <f t="shared" si="1"/>
        <v>2.9629629629629628E-3</v>
      </c>
      <c r="J7">
        <f t="shared" si="2"/>
        <v>4.6419753086419747E-2</v>
      </c>
    </row>
    <row r="8" spans="2:13" x14ac:dyDescent="0.45">
      <c r="B8">
        <v>7</v>
      </c>
      <c r="C8">
        <v>13</v>
      </c>
      <c r="D8">
        <v>1000</v>
      </c>
      <c r="E8">
        <f t="shared" si="3"/>
        <v>750</v>
      </c>
      <c r="F8">
        <f>SUM(C$2:C8)</f>
        <v>65</v>
      </c>
      <c r="G8">
        <f>SUM(E$2:E8)</f>
        <v>4800</v>
      </c>
      <c r="H8">
        <f t="shared" si="0"/>
        <v>1.3541666666666667E-2</v>
      </c>
      <c r="I8">
        <f t="shared" si="1"/>
        <v>2.7083333333333334E-3</v>
      </c>
      <c r="J8">
        <f t="shared" si="2"/>
        <v>4.6041666666666668E-2</v>
      </c>
    </row>
    <row r="9" spans="2:13" x14ac:dyDescent="0.45">
      <c r="B9">
        <v>8</v>
      </c>
      <c r="C9">
        <v>15</v>
      </c>
      <c r="D9">
        <v>1500</v>
      </c>
      <c r="E9">
        <f t="shared" si="3"/>
        <v>1125</v>
      </c>
      <c r="F9">
        <f>SUM(C$2:C9)</f>
        <v>80</v>
      </c>
      <c r="G9">
        <f>SUM(E$2:E9)</f>
        <v>5925</v>
      </c>
      <c r="H9">
        <f t="shared" si="0"/>
        <v>1.350210970464135E-2</v>
      </c>
      <c r="I9">
        <f t="shared" si="1"/>
        <v>2.5316455696202532E-3</v>
      </c>
      <c r="J9">
        <f t="shared" si="2"/>
        <v>4.472573839662447E-2</v>
      </c>
    </row>
    <row r="10" spans="2:13" x14ac:dyDescent="0.45">
      <c r="B10">
        <v>9</v>
      </c>
      <c r="C10">
        <v>16</v>
      </c>
      <c r="D10">
        <v>2000</v>
      </c>
      <c r="E10">
        <f t="shared" si="3"/>
        <v>1500</v>
      </c>
      <c r="F10">
        <f>SUM(C$2:C10)</f>
        <v>96</v>
      </c>
      <c r="G10">
        <f>SUM(E$2:E10)</f>
        <v>7425</v>
      </c>
      <c r="H10">
        <f t="shared" si="0"/>
        <v>1.2929292929292929E-2</v>
      </c>
      <c r="I10">
        <f t="shared" si="1"/>
        <v>2.1548821548821547E-3</v>
      </c>
      <c r="J10">
        <f t="shared" si="2"/>
        <v>4.0942760942760933E-2</v>
      </c>
    </row>
    <row r="11" spans="2:13" x14ac:dyDescent="0.45">
      <c r="B11">
        <v>10</v>
      </c>
      <c r="C11">
        <v>17</v>
      </c>
      <c r="D11">
        <v>3000</v>
      </c>
      <c r="E11">
        <f t="shared" si="3"/>
        <v>2250</v>
      </c>
      <c r="F11">
        <f>SUM(C$2:C11)</f>
        <v>113</v>
      </c>
      <c r="G11">
        <f>SUM(E$2:E11)</f>
        <v>9675</v>
      </c>
      <c r="H11">
        <f t="shared" si="0"/>
        <v>1.1679586563307493E-2</v>
      </c>
      <c r="I11">
        <f t="shared" si="1"/>
        <v>1.7571059431524547E-3</v>
      </c>
      <c r="J11">
        <f t="shared" si="2"/>
        <v>3.565891472868217E-2</v>
      </c>
    </row>
    <row r="12" spans="2:13" x14ac:dyDescent="0.45">
      <c r="B12">
        <v>11</v>
      </c>
      <c r="C12">
        <v>18</v>
      </c>
      <c r="D12">
        <v>4000</v>
      </c>
      <c r="E12">
        <f t="shared" si="3"/>
        <v>3000</v>
      </c>
      <c r="F12">
        <f>SUM(C$2:C12)</f>
        <v>131</v>
      </c>
      <c r="G12">
        <f>SUM(E$2:E12)</f>
        <v>12675</v>
      </c>
      <c r="H12">
        <f t="shared" si="0"/>
        <v>1.0335305719921105E-2</v>
      </c>
      <c r="I12">
        <f t="shared" si="1"/>
        <v>1.4201183431952662E-3</v>
      </c>
      <c r="J12">
        <f t="shared" si="2"/>
        <v>3.0611439842209071E-2</v>
      </c>
    </row>
    <row r="13" spans="2:13" x14ac:dyDescent="0.45">
      <c r="B13">
        <v>12</v>
      </c>
      <c r="C13">
        <v>20</v>
      </c>
      <c r="D13">
        <v>5000</v>
      </c>
      <c r="E13">
        <f t="shared" si="3"/>
        <v>3750</v>
      </c>
      <c r="F13">
        <f>SUM(C$2:C13)</f>
        <v>151</v>
      </c>
      <c r="G13">
        <f>SUM(E$2:E13)</f>
        <v>16425</v>
      </c>
      <c r="H13">
        <f t="shared" si="0"/>
        <v>9.1933028919330296E-3</v>
      </c>
      <c r="I13">
        <f t="shared" si="1"/>
        <v>1.2176560121765602E-3</v>
      </c>
      <c r="J13">
        <f t="shared" si="2"/>
        <v>2.6910197869101982E-2</v>
      </c>
    </row>
    <row r="14" spans="2:13" x14ac:dyDescent="0.45">
      <c r="B14">
        <v>13</v>
      </c>
      <c r="C14">
        <v>22</v>
      </c>
      <c r="D14">
        <v>7000</v>
      </c>
      <c r="E14">
        <f t="shared" si="3"/>
        <v>5250</v>
      </c>
      <c r="F14">
        <f>SUM(C$2:C14)</f>
        <v>173</v>
      </c>
      <c r="G14">
        <f>SUM(E$2:E14)</f>
        <v>21675</v>
      </c>
      <c r="H14">
        <f t="shared" si="0"/>
        <v>7.9815455594002306E-3</v>
      </c>
      <c r="I14">
        <f t="shared" si="1"/>
        <v>1.0149942329873126E-3</v>
      </c>
      <c r="J14">
        <f t="shared" si="2"/>
        <v>2.306805074971165E-2</v>
      </c>
    </row>
    <row r="15" spans="2:13" x14ac:dyDescent="0.45">
      <c r="B15">
        <v>14</v>
      </c>
      <c r="C15">
        <v>25</v>
      </c>
      <c r="D15">
        <v>10000</v>
      </c>
      <c r="E15">
        <f t="shared" si="3"/>
        <v>7500</v>
      </c>
      <c r="F15">
        <f>SUM(C$2:C15)</f>
        <v>198</v>
      </c>
      <c r="G15">
        <f>SUM(E$2:E15)</f>
        <v>29175</v>
      </c>
      <c r="H15">
        <f t="shared" si="0"/>
        <v>6.786632390745501E-3</v>
      </c>
      <c r="I15">
        <f t="shared" si="1"/>
        <v>8.5689802913453304E-4</v>
      </c>
      <c r="J15">
        <f t="shared" si="2"/>
        <v>1.9571550985432732E-2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3853-5B4D-4EB7-993E-29CCDA516AA4}">
  <dimension ref="B1:M13"/>
  <sheetViews>
    <sheetView topLeftCell="H11" zoomScale="73" workbookViewId="0">
      <selection activeCell="Q27" sqref="Q27"/>
    </sheetView>
  </sheetViews>
  <sheetFormatPr defaultRowHeight="14.25" x14ac:dyDescent="0.45"/>
  <cols>
    <col min="8" max="8" width="14.59765625" bestFit="1" customWidth="1"/>
    <col min="9" max="9" width="19.3984375" bestFit="1" customWidth="1"/>
    <col min="12" max="12" width="12.265625" bestFit="1" customWidth="1"/>
    <col min="13" max="13" width="19.73046875" bestFit="1" customWidth="1"/>
  </cols>
  <sheetData>
    <row r="1" spans="2:13" x14ac:dyDescent="0.45">
      <c r="B1" t="s">
        <v>6</v>
      </c>
      <c r="C1" t="s">
        <v>0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L1" t="s">
        <v>8</v>
      </c>
      <c r="M1" t="s">
        <v>9</v>
      </c>
    </row>
    <row r="2" spans="2:13" x14ac:dyDescent="0.45">
      <c r="B2">
        <v>1</v>
      </c>
      <c r="C2">
        <v>6</v>
      </c>
      <c r="D2">
        <v>2000</v>
      </c>
      <c r="E2">
        <f>D2*0.9</f>
        <v>1800</v>
      </c>
      <c r="F2">
        <f>SUM(C$2:C2)</f>
        <v>6</v>
      </c>
      <c r="G2">
        <f>SUM(E$2:E2)</f>
        <v>1800</v>
      </c>
      <c r="H2">
        <f>F2/G2</f>
        <v>3.3333333333333335E-3</v>
      </c>
      <c r="I2">
        <f t="shared" ref="I2:I13" si="0">C2/G2</f>
        <v>3.3333333333333335E-3</v>
      </c>
      <c r="J2">
        <f t="shared" ref="J2:J13" si="1">($L$2*H2+($M$2-$L$2)*I2)/100</f>
        <v>6.6666666666666666E-2</v>
      </c>
      <c r="L2">
        <v>750</v>
      </c>
      <c r="M2">
        <v>2000</v>
      </c>
    </row>
    <row r="3" spans="2:13" x14ac:dyDescent="0.45">
      <c r="B3">
        <v>2</v>
      </c>
      <c r="C3">
        <v>7</v>
      </c>
      <c r="D3">
        <v>500</v>
      </c>
      <c r="E3">
        <f>D3*0.75</f>
        <v>375</v>
      </c>
      <c r="F3">
        <f>SUM(C$2:C3)</f>
        <v>13</v>
      </c>
      <c r="G3">
        <f>SUM(E$2:E3)</f>
        <v>2175</v>
      </c>
      <c r="H3">
        <f t="shared" ref="H3:H13" si="2">F3/G3</f>
        <v>5.9770114942528738E-3</v>
      </c>
      <c r="I3">
        <f t="shared" si="0"/>
        <v>3.2183908045977012E-3</v>
      </c>
      <c r="J3">
        <f t="shared" si="1"/>
        <v>8.5057471264367829E-2</v>
      </c>
    </row>
    <row r="4" spans="2:13" x14ac:dyDescent="0.45">
      <c r="B4">
        <v>3</v>
      </c>
      <c r="C4">
        <v>8</v>
      </c>
      <c r="D4">
        <v>500</v>
      </c>
      <c r="E4">
        <f t="shared" ref="E4:E13" si="3">D4*0.75</f>
        <v>375</v>
      </c>
      <c r="F4">
        <f>SUM(C$2:C4)</f>
        <v>21</v>
      </c>
      <c r="G4">
        <f>SUM(E$2:E4)</f>
        <v>2550</v>
      </c>
      <c r="H4">
        <f t="shared" si="2"/>
        <v>8.2352941176470594E-3</v>
      </c>
      <c r="I4">
        <f t="shared" si="0"/>
        <v>3.1372549019607842E-3</v>
      </c>
      <c r="J4">
        <f t="shared" si="1"/>
        <v>0.10098039215686275</v>
      </c>
    </row>
    <row r="5" spans="2:13" x14ac:dyDescent="0.45">
      <c r="B5">
        <v>4</v>
      </c>
      <c r="C5">
        <v>10</v>
      </c>
      <c r="D5">
        <v>1000</v>
      </c>
      <c r="E5">
        <f t="shared" si="3"/>
        <v>750</v>
      </c>
      <c r="F5">
        <f>SUM(C$2:C5)</f>
        <v>31</v>
      </c>
      <c r="G5">
        <f>SUM(E$2:E5)</f>
        <v>3300</v>
      </c>
      <c r="H5">
        <f t="shared" si="2"/>
        <v>9.3939393939393937E-3</v>
      </c>
      <c r="I5">
        <f t="shared" si="0"/>
        <v>3.0303030303030303E-3</v>
      </c>
      <c r="J5">
        <f t="shared" si="1"/>
        <v>0.10833333333333332</v>
      </c>
    </row>
    <row r="6" spans="2:13" x14ac:dyDescent="0.45">
      <c r="B6">
        <v>5</v>
      </c>
      <c r="C6">
        <v>12</v>
      </c>
      <c r="D6">
        <v>1000</v>
      </c>
      <c r="E6">
        <f t="shared" si="3"/>
        <v>750</v>
      </c>
      <c r="F6">
        <f>SUM(C$2:C6)</f>
        <v>43</v>
      </c>
      <c r="G6">
        <f>SUM(E$2:E6)</f>
        <v>4050</v>
      </c>
      <c r="H6">
        <f t="shared" si="2"/>
        <v>1.0617283950617284E-2</v>
      </c>
      <c r="I6">
        <f t="shared" si="0"/>
        <v>2.9629629629629628E-3</v>
      </c>
      <c r="J6">
        <f t="shared" si="1"/>
        <v>0.11666666666666668</v>
      </c>
    </row>
    <row r="7" spans="2:13" x14ac:dyDescent="0.45">
      <c r="B7">
        <v>6</v>
      </c>
      <c r="C7">
        <v>15</v>
      </c>
      <c r="D7">
        <v>2000</v>
      </c>
      <c r="E7">
        <f t="shared" si="3"/>
        <v>1500</v>
      </c>
      <c r="F7">
        <f>SUM(C$2:C7)</f>
        <v>58</v>
      </c>
      <c r="G7">
        <f>SUM(E$2:E7)</f>
        <v>5550</v>
      </c>
      <c r="H7">
        <f t="shared" si="2"/>
        <v>1.0450450450450451E-2</v>
      </c>
      <c r="I7">
        <f t="shared" si="0"/>
        <v>2.7027027027027029E-3</v>
      </c>
      <c r="J7">
        <f t="shared" si="1"/>
        <v>0.11216216216216218</v>
      </c>
    </row>
    <row r="8" spans="2:13" x14ac:dyDescent="0.45">
      <c r="B8">
        <v>7</v>
      </c>
      <c r="C8">
        <v>17</v>
      </c>
      <c r="D8">
        <v>2000</v>
      </c>
      <c r="E8">
        <f t="shared" si="3"/>
        <v>1500</v>
      </c>
      <c r="F8">
        <f>SUM(C$2:C8)</f>
        <v>75</v>
      </c>
      <c r="G8">
        <f>SUM(E$2:E8)</f>
        <v>7050</v>
      </c>
      <c r="H8">
        <f t="shared" si="2"/>
        <v>1.0638297872340425E-2</v>
      </c>
      <c r="I8">
        <f t="shared" si="0"/>
        <v>2.4113475177304964E-3</v>
      </c>
      <c r="J8">
        <f t="shared" si="1"/>
        <v>0.1099290780141844</v>
      </c>
    </row>
    <row r="9" spans="2:13" x14ac:dyDescent="0.45">
      <c r="B9">
        <v>8</v>
      </c>
      <c r="C9">
        <v>20</v>
      </c>
      <c r="D9">
        <v>3000</v>
      </c>
      <c r="E9">
        <f t="shared" si="3"/>
        <v>2250</v>
      </c>
      <c r="F9">
        <f>SUM(C$2:C9)</f>
        <v>95</v>
      </c>
      <c r="G9">
        <f>SUM(E$2:E9)</f>
        <v>9300</v>
      </c>
      <c r="H9">
        <f t="shared" si="2"/>
        <v>1.0215053763440861E-2</v>
      </c>
      <c r="I9">
        <f t="shared" si="0"/>
        <v>2.1505376344086021E-3</v>
      </c>
      <c r="J9">
        <f t="shared" si="1"/>
        <v>0.10349462365591398</v>
      </c>
    </row>
    <row r="10" spans="2:13" x14ac:dyDescent="0.45">
      <c r="B10">
        <v>9</v>
      </c>
      <c r="C10">
        <v>22</v>
      </c>
      <c r="D10">
        <v>4000</v>
      </c>
      <c r="E10">
        <f t="shared" si="3"/>
        <v>3000</v>
      </c>
      <c r="F10">
        <f>SUM(C$2:C10)</f>
        <v>117</v>
      </c>
      <c r="G10">
        <f>SUM(E$2:E10)</f>
        <v>12300</v>
      </c>
      <c r="H10">
        <f t="shared" si="2"/>
        <v>9.5121951219512193E-3</v>
      </c>
      <c r="I10">
        <f t="shared" si="0"/>
        <v>1.7886178861788618E-3</v>
      </c>
      <c r="J10">
        <f t="shared" si="1"/>
        <v>9.3699186991869909E-2</v>
      </c>
    </row>
    <row r="11" spans="2:13" x14ac:dyDescent="0.45">
      <c r="B11">
        <v>10</v>
      </c>
      <c r="C11">
        <v>25</v>
      </c>
      <c r="D11">
        <v>4000</v>
      </c>
      <c r="E11">
        <f t="shared" si="3"/>
        <v>3000</v>
      </c>
      <c r="F11">
        <f>SUM(C$2:C11)</f>
        <v>142</v>
      </c>
      <c r="G11">
        <f>SUM(E$2:E11)</f>
        <v>15300</v>
      </c>
      <c r="H11">
        <f t="shared" si="2"/>
        <v>9.2810457516339876E-3</v>
      </c>
      <c r="I11">
        <f t="shared" si="0"/>
        <v>1.6339869281045752E-3</v>
      </c>
      <c r="J11">
        <f t="shared" si="1"/>
        <v>9.0032679738562091E-2</v>
      </c>
    </row>
    <row r="12" spans="2:13" x14ac:dyDescent="0.45">
      <c r="B12">
        <v>11</v>
      </c>
      <c r="C12">
        <v>40</v>
      </c>
      <c r="D12">
        <v>8000</v>
      </c>
      <c r="E12">
        <f t="shared" si="3"/>
        <v>6000</v>
      </c>
      <c r="F12">
        <f>SUM(C$2:C12)</f>
        <v>182</v>
      </c>
      <c r="G12">
        <f>SUM(E$2:E12)</f>
        <v>21300</v>
      </c>
      <c r="H12">
        <f t="shared" si="2"/>
        <v>8.5446009389671361E-3</v>
      </c>
      <c r="I12">
        <f t="shared" si="0"/>
        <v>1.8779342723004694E-3</v>
      </c>
      <c r="J12">
        <f t="shared" si="1"/>
        <v>8.7558685446009393E-2</v>
      </c>
    </row>
    <row r="13" spans="2:13" x14ac:dyDescent="0.45">
      <c r="B13">
        <v>12</v>
      </c>
      <c r="C13">
        <v>50</v>
      </c>
      <c r="D13">
        <v>10000</v>
      </c>
      <c r="E13">
        <f t="shared" si="3"/>
        <v>7500</v>
      </c>
      <c r="F13">
        <f>SUM(C$2:C13)</f>
        <v>232</v>
      </c>
      <c r="G13">
        <f>SUM(E$2:E13)</f>
        <v>28800</v>
      </c>
      <c r="H13">
        <f t="shared" si="2"/>
        <v>8.0555555555555554E-3</v>
      </c>
      <c r="I13">
        <f t="shared" si="0"/>
        <v>1.736111111111111E-3</v>
      </c>
      <c r="J13">
        <f t="shared" si="1"/>
        <v>8.2118055555555555E-2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9C43-6B48-47CB-B080-195A47AED934}">
  <dimension ref="B1:M15"/>
  <sheetViews>
    <sheetView workbookViewId="0">
      <selection activeCell="G2" sqref="G2:G15"/>
    </sheetView>
  </sheetViews>
  <sheetFormatPr defaultRowHeight="14.25" x14ac:dyDescent="0.45"/>
  <cols>
    <col min="8" max="8" width="14.59765625" bestFit="1" customWidth="1"/>
    <col min="9" max="9" width="19.3984375" bestFit="1" customWidth="1"/>
    <col min="10" max="10" width="14" bestFit="1" customWidth="1"/>
    <col min="12" max="12" width="12.265625" bestFit="1" customWidth="1"/>
    <col min="13" max="13" width="19.73046875" bestFit="1" customWidth="1"/>
  </cols>
  <sheetData>
    <row r="1" spans="2:13" x14ac:dyDescent="0.45">
      <c r="B1" t="s">
        <v>6</v>
      </c>
      <c r="C1" t="s">
        <v>0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L1" t="s">
        <v>8</v>
      </c>
      <c r="M1" t="s">
        <v>9</v>
      </c>
    </row>
    <row r="2" spans="2:13" x14ac:dyDescent="0.45">
      <c r="B2">
        <v>1</v>
      </c>
      <c r="C2">
        <v>10</v>
      </c>
      <c r="D2">
        <v>2000</v>
      </c>
      <c r="E2">
        <f>D2*0.9</f>
        <v>1800</v>
      </c>
      <c r="F2">
        <f>SUM(C$2:C2)</f>
        <v>10</v>
      </c>
      <c r="G2">
        <f>SUM(E$2:E2)</f>
        <v>1800</v>
      </c>
      <c r="H2">
        <f>F2/G2</f>
        <v>5.5555555555555558E-3</v>
      </c>
      <c r="I2">
        <f>C2/G2</f>
        <v>5.5555555555555558E-3</v>
      </c>
      <c r="J2">
        <f>($L$2*H2+($M$2-$L$2)*I2)/100</f>
        <v>2.6666666666666668E-2</v>
      </c>
      <c r="L2">
        <v>150</v>
      </c>
      <c r="M2">
        <v>480</v>
      </c>
    </row>
    <row r="3" spans="2:13" x14ac:dyDescent="0.45">
      <c r="B3">
        <v>2</v>
      </c>
      <c r="C3">
        <v>13</v>
      </c>
      <c r="D3">
        <v>500</v>
      </c>
      <c r="E3">
        <f>D3*0.75</f>
        <v>375</v>
      </c>
      <c r="F3">
        <f>SUM(C$2:C3)</f>
        <v>23</v>
      </c>
      <c r="G3">
        <f>SUM(E$2:E3)</f>
        <v>2175</v>
      </c>
      <c r="H3">
        <f t="shared" ref="H3:H15" si="0">F3/G3</f>
        <v>1.0574712643678161E-2</v>
      </c>
      <c r="I3">
        <f t="shared" ref="I3:I15" si="1">C3/G3</f>
        <v>5.9770114942528738E-3</v>
      </c>
      <c r="J3">
        <f t="shared" ref="J3:J15" si="2">($L$2*H3+($M$2-$L$2)*I3)/100</f>
        <v>3.5586206896551724E-2</v>
      </c>
    </row>
    <row r="4" spans="2:13" x14ac:dyDescent="0.45">
      <c r="B4">
        <v>3</v>
      </c>
      <c r="C4">
        <v>16</v>
      </c>
      <c r="D4">
        <v>500</v>
      </c>
      <c r="E4">
        <f t="shared" ref="E4:E15" si="3">D4*0.75</f>
        <v>375</v>
      </c>
      <c r="F4">
        <f>SUM(C$2:C4)</f>
        <v>39</v>
      </c>
      <c r="G4">
        <f>SUM(E$2:E4)</f>
        <v>2550</v>
      </c>
      <c r="H4">
        <f t="shared" si="0"/>
        <v>1.5294117647058824E-2</v>
      </c>
      <c r="I4">
        <f t="shared" si="1"/>
        <v>6.2745098039215684E-3</v>
      </c>
      <c r="J4">
        <f t="shared" si="2"/>
        <v>4.3647058823529414E-2</v>
      </c>
    </row>
    <row r="5" spans="2:13" x14ac:dyDescent="0.45">
      <c r="B5">
        <v>4</v>
      </c>
      <c r="C5">
        <v>20</v>
      </c>
      <c r="D5">
        <v>500</v>
      </c>
      <c r="E5">
        <f t="shared" si="3"/>
        <v>375</v>
      </c>
      <c r="F5">
        <f>SUM(C$2:C5)</f>
        <v>59</v>
      </c>
      <c r="G5">
        <f>SUM(E$2:E5)</f>
        <v>2925</v>
      </c>
      <c r="H5">
        <f t="shared" si="0"/>
        <v>2.017094017094017E-2</v>
      </c>
      <c r="I5">
        <f t="shared" si="1"/>
        <v>6.8376068376068376E-3</v>
      </c>
      <c r="J5">
        <f t="shared" si="2"/>
        <v>5.2820512820512817E-2</v>
      </c>
    </row>
    <row r="6" spans="2:13" x14ac:dyDescent="0.45">
      <c r="B6">
        <v>5</v>
      </c>
      <c r="C6">
        <v>25</v>
      </c>
      <c r="D6">
        <v>500</v>
      </c>
      <c r="E6">
        <f t="shared" si="3"/>
        <v>375</v>
      </c>
      <c r="F6">
        <f>SUM(C$2:C6)</f>
        <v>84</v>
      </c>
      <c r="G6">
        <f>SUM(E$2:E6)</f>
        <v>3300</v>
      </c>
      <c r="H6">
        <f t="shared" si="0"/>
        <v>2.5454545454545455E-2</v>
      </c>
      <c r="I6">
        <f t="shared" si="1"/>
        <v>7.575757575757576E-3</v>
      </c>
      <c r="J6">
        <f t="shared" si="2"/>
        <v>6.3181818181818186E-2</v>
      </c>
    </row>
    <row r="7" spans="2:13" x14ac:dyDescent="0.45">
      <c r="B7">
        <v>6</v>
      </c>
      <c r="C7">
        <v>30</v>
      </c>
      <c r="D7">
        <v>1000</v>
      </c>
      <c r="E7">
        <f t="shared" si="3"/>
        <v>750</v>
      </c>
      <c r="F7">
        <f>SUM(C$2:C7)</f>
        <v>114</v>
      </c>
      <c r="G7">
        <f>SUM(E$2:E7)</f>
        <v>4050</v>
      </c>
      <c r="H7">
        <f t="shared" si="0"/>
        <v>2.8148148148148148E-2</v>
      </c>
      <c r="I7">
        <f t="shared" si="1"/>
        <v>7.4074074074074077E-3</v>
      </c>
      <c r="J7">
        <f t="shared" si="2"/>
        <v>6.6666666666666666E-2</v>
      </c>
    </row>
    <row r="8" spans="2:13" x14ac:dyDescent="0.45">
      <c r="B8">
        <v>7</v>
      </c>
      <c r="C8">
        <v>33</v>
      </c>
      <c r="D8">
        <v>1000</v>
      </c>
      <c r="E8">
        <f t="shared" si="3"/>
        <v>750</v>
      </c>
      <c r="F8">
        <f>SUM(C$2:C8)</f>
        <v>147</v>
      </c>
      <c r="G8">
        <f>SUM(E$2:E8)</f>
        <v>4800</v>
      </c>
      <c r="H8">
        <f t="shared" si="0"/>
        <v>3.0624999999999999E-2</v>
      </c>
      <c r="I8">
        <f t="shared" si="1"/>
        <v>6.875E-3</v>
      </c>
      <c r="J8">
        <f t="shared" si="2"/>
        <v>6.8624999999999992E-2</v>
      </c>
    </row>
    <row r="9" spans="2:13" x14ac:dyDescent="0.45">
      <c r="B9">
        <v>8</v>
      </c>
      <c r="C9">
        <v>37</v>
      </c>
      <c r="D9">
        <v>1000</v>
      </c>
      <c r="E9">
        <f t="shared" si="3"/>
        <v>750</v>
      </c>
      <c r="F9">
        <f>SUM(C$2:C9)</f>
        <v>184</v>
      </c>
      <c r="G9">
        <f>SUM(E$2:E9)</f>
        <v>5550</v>
      </c>
      <c r="H9">
        <f t="shared" si="0"/>
        <v>3.3153153153153155E-2</v>
      </c>
      <c r="I9">
        <f t="shared" si="1"/>
        <v>6.6666666666666671E-3</v>
      </c>
      <c r="J9">
        <f t="shared" si="2"/>
        <v>7.1729729729729727E-2</v>
      </c>
    </row>
    <row r="10" spans="2:13" x14ac:dyDescent="0.45">
      <c r="B10">
        <v>9</v>
      </c>
      <c r="C10">
        <v>40</v>
      </c>
      <c r="D10">
        <v>2000</v>
      </c>
      <c r="E10">
        <f t="shared" si="3"/>
        <v>1500</v>
      </c>
      <c r="F10">
        <f>SUM(C$2:C10)</f>
        <v>224</v>
      </c>
      <c r="G10">
        <f>SUM(E$2:E10)</f>
        <v>7050</v>
      </c>
      <c r="H10">
        <f t="shared" si="0"/>
        <v>3.1773049645390072E-2</v>
      </c>
      <c r="I10">
        <f t="shared" si="1"/>
        <v>5.6737588652482273E-3</v>
      </c>
      <c r="J10">
        <f t="shared" si="2"/>
        <v>6.6382978723404248E-2</v>
      </c>
    </row>
    <row r="11" spans="2:13" x14ac:dyDescent="0.45">
      <c r="B11">
        <v>10</v>
      </c>
      <c r="C11">
        <v>45</v>
      </c>
      <c r="D11">
        <v>2000</v>
      </c>
      <c r="E11">
        <f t="shared" si="3"/>
        <v>1500</v>
      </c>
      <c r="F11">
        <f>SUM(C$2:C11)</f>
        <v>269</v>
      </c>
      <c r="G11">
        <f>SUM(E$2:E11)</f>
        <v>8550</v>
      </c>
      <c r="H11">
        <f t="shared" si="0"/>
        <v>3.1461988304093566E-2</v>
      </c>
      <c r="I11">
        <f t="shared" si="1"/>
        <v>5.263157894736842E-3</v>
      </c>
      <c r="J11">
        <f t="shared" si="2"/>
        <v>6.4561403508771931E-2</v>
      </c>
    </row>
    <row r="12" spans="2:13" x14ac:dyDescent="0.45">
      <c r="B12">
        <v>11</v>
      </c>
      <c r="C12">
        <v>50</v>
      </c>
      <c r="D12">
        <v>4000</v>
      </c>
      <c r="E12">
        <f t="shared" si="3"/>
        <v>3000</v>
      </c>
      <c r="F12">
        <f>SUM(C$2:C12)</f>
        <v>319</v>
      </c>
      <c r="G12">
        <f>SUM(E$2:E12)</f>
        <v>11550</v>
      </c>
      <c r="H12">
        <f t="shared" si="0"/>
        <v>2.7619047619047619E-2</v>
      </c>
      <c r="I12">
        <f t="shared" si="1"/>
        <v>4.329004329004329E-3</v>
      </c>
      <c r="J12">
        <f t="shared" si="2"/>
        <v>5.5714285714285723E-2</v>
      </c>
    </row>
    <row r="13" spans="2:13" x14ac:dyDescent="0.45">
      <c r="B13">
        <v>12</v>
      </c>
      <c r="C13">
        <v>60</v>
      </c>
      <c r="D13">
        <v>5000</v>
      </c>
      <c r="E13">
        <f t="shared" si="3"/>
        <v>3750</v>
      </c>
      <c r="F13">
        <f>SUM(C$2:C13)</f>
        <v>379</v>
      </c>
      <c r="G13">
        <f>SUM(E$2:E13)</f>
        <v>15300</v>
      </c>
      <c r="H13">
        <f t="shared" si="0"/>
        <v>2.477124183006536E-2</v>
      </c>
      <c r="I13">
        <f t="shared" si="1"/>
        <v>3.9215686274509803E-3</v>
      </c>
      <c r="J13">
        <f t="shared" si="2"/>
        <v>5.0098039215686271E-2</v>
      </c>
    </row>
    <row r="14" spans="2:13" x14ac:dyDescent="0.45">
      <c r="B14">
        <v>13</v>
      </c>
      <c r="C14">
        <v>70</v>
      </c>
      <c r="D14">
        <v>5000</v>
      </c>
      <c r="E14">
        <f t="shared" si="3"/>
        <v>3750</v>
      </c>
      <c r="F14">
        <f>SUM(C$2:C14)</f>
        <v>449</v>
      </c>
      <c r="G14">
        <f>SUM(E$2:E14)</f>
        <v>19050</v>
      </c>
      <c r="H14">
        <f t="shared" si="0"/>
        <v>2.3569553805774277E-2</v>
      </c>
      <c r="I14">
        <f t="shared" si="1"/>
        <v>3.6745406824146981E-3</v>
      </c>
      <c r="J14">
        <f t="shared" si="2"/>
        <v>4.7480314960629925E-2</v>
      </c>
    </row>
    <row r="15" spans="2:13" x14ac:dyDescent="0.45">
      <c r="B15">
        <v>14</v>
      </c>
      <c r="C15">
        <v>100</v>
      </c>
      <c r="D15">
        <v>12000</v>
      </c>
      <c r="E15">
        <f t="shared" si="3"/>
        <v>9000</v>
      </c>
      <c r="F15">
        <f>SUM(C$2:C15)</f>
        <v>549</v>
      </c>
      <c r="G15">
        <f>SUM(E$2:E15)</f>
        <v>28050</v>
      </c>
      <c r="H15">
        <f t="shared" si="0"/>
        <v>1.9572192513368985E-2</v>
      </c>
      <c r="I15">
        <f t="shared" si="1"/>
        <v>3.5650623885918001E-3</v>
      </c>
      <c r="J15">
        <f t="shared" si="2"/>
        <v>4.1122994652406417E-2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B5B1-F3E3-4C78-996B-CB0CD68B8A90}">
  <dimension ref="B1:M11"/>
  <sheetViews>
    <sheetView workbookViewId="0">
      <selection activeCell="L3" sqref="L3"/>
    </sheetView>
  </sheetViews>
  <sheetFormatPr defaultRowHeight="14.25" x14ac:dyDescent="0.45"/>
  <cols>
    <col min="8" max="8" width="14.59765625" bestFit="1" customWidth="1"/>
    <col min="9" max="9" width="19.3984375" bestFit="1" customWidth="1"/>
    <col min="12" max="12" width="12.265625" bestFit="1" customWidth="1"/>
    <col min="13" max="13" width="19.73046875" bestFit="1" customWidth="1"/>
  </cols>
  <sheetData>
    <row r="1" spans="2:13" x14ac:dyDescent="0.45">
      <c r="B1" t="s">
        <v>6</v>
      </c>
      <c r="C1" t="s">
        <v>0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L1" t="s">
        <v>8</v>
      </c>
      <c r="M1" t="s">
        <v>9</v>
      </c>
    </row>
    <row r="2" spans="2:13" x14ac:dyDescent="0.45">
      <c r="B2">
        <v>1</v>
      </c>
      <c r="C2">
        <v>45</v>
      </c>
      <c r="D2">
        <v>2000</v>
      </c>
      <c r="E2">
        <f>D2*0.9</f>
        <v>1800</v>
      </c>
      <c r="F2">
        <f>SUM(C$2:C2)</f>
        <v>45</v>
      </c>
      <c r="G2">
        <f>SUM(E$2:E2)</f>
        <v>1800</v>
      </c>
      <c r="H2">
        <f>F2/G2</f>
        <v>2.5000000000000001E-2</v>
      </c>
      <c r="I2">
        <f t="shared" ref="I2:I11" si="0">C2/G2</f>
        <v>2.5000000000000001E-2</v>
      </c>
      <c r="J2">
        <f>($L$2*H2+($M$2-$L$2)*I2)/100</f>
        <v>6.25E-2</v>
      </c>
      <c r="L2">
        <v>60</v>
      </c>
      <c r="M2">
        <f>250</f>
        <v>250</v>
      </c>
    </row>
    <row r="3" spans="2:13" x14ac:dyDescent="0.45">
      <c r="B3">
        <v>2</v>
      </c>
      <c r="C3">
        <v>55</v>
      </c>
      <c r="D3">
        <v>500</v>
      </c>
      <c r="E3">
        <f>D3*0.75</f>
        <v>375</v>
      </c>
      <c r="F3">
        <f>SUM(C$2:C3)</f>
        <v>100</v>
      </c>
      <c r="G3">
        <f>SUM(E$2:E3)</f>
        <v>2175</v>
      </c>
      <c r="H3">
        <f t="shared" ref="H3:H11" si="1">F3/G3</f>
        <v>4.5977011494252873E-2</v>
      </c>
      <c r="I3">
        <f t="shared" si="0"/>
        <v>2.528735632183908E-2</v>
      </c>
      <c r="J3">
        <f t="shared" ref="J3:J11" si="2">($L$2*H3+($M$2-$L$2)*I3)/100</f>
        <v>7.5632183908045977E-2</v>
      </c>
    </row>
    <row r="4" spans="2:13" x14ac:dyDescent="0.45">
      <c r="B4">
        <v>3</v>
      </c>
      <c r="C4">
        <v>65</v>
      </c>
      <c r="D4">
        <v>500</v>
      </c>
      <c r="E4">
        <f t="shared" ref="E4:E11" si="3">D4*0.75</f>
        <v>375</v>
      </c>
      <c r="F4">
        <f>SUM(C$2:C4)</f>
        <v>165</v>
      </c>
      <c r="G4">
        <f>SUM(E$2:E4)</f>
        <v>2550</v>
      </c>
      <c r="H4">
        <f t="shared" si="1"/>
        <v>6.4705882352941183E-2</v>
      </c>
      <c r="I4">
        <f t="shared" si="0"/>
        <v>2.5490196078431372E-2</v>
      </c>
      <c r="J4">
        <f t="shared" si="2"/>
        <v>8.7254901960784323E-2</v>
      </c>
    </row>
    <row r="5" spans="2:13" x14ac:dyDescent="0.45">
      <c r="B5">
        <v>4</v>
      </c>
      <c r="C5">
        <v>80</v>
      </c>
      <c r="D5">
        <v>1000</v>
      </c>
      <c r="E5">
        <f t="shared" si="3"/>
        <v>750</v>
      </c>
      <c r="F5">
        <f>SUM(C$2:C5)</f>
        <v>245</v>
      </c>
      <c r="G5">
        <f>SUM(E$2:E5)</f>
        <v>3300</v>
      </c>
      <c r="H5">
        <f t="shared" si="1"/>
        <v>7.4242424242424249E-2</v>
      </c>
      <c r="I5">
        <f t="shared" si="0"/>
        <v>2.4242424242424242E-2</v>
      </c>
      <c r="J5">
        <f t="shared" si="2"/>
        <v>9.0606060606060621E-2</v>
      </c>
    </row>
    <row r="6" spans="2:13" x14ac:dyDescent="0.45">
      <c r="B6">
        <v>5</v>
      </c>
      <c r="C6">
        <v>90</v>
      </c>
      <c r="D6">
        <v>2000</v>
      </c>
      <c r="E6">
        <f t="shared" si="3"/>
        <v>1500</v>
      </c>
      <c r="F6">
        <f>SUM(C$2:C6)</f>
        <v>335</v>
      </c>
      <c r="G6">
        <f>SUM(E$2:E6)</f>
        <v>4800</v>
      </c>
      <c r="H6">
        <f t="shared" si="1"/>
        <v>6.9791666666666669E-2</v>
      </c>
      <c r="I6">
        <f t="shared" si="0"/>
        <v>1.8749999999999999E-2</v>
      </c>
      <c r="J6">
        <f t="shared" si="2"/>
        <v>7.7499999999999999E-2</v>
      </c>
    </row>
    <row r="7" spans="2:13" x14ac:dyDescent="0.45">
      <c r="B7">
        <v>6</v>
      </c>
      <c r="C7">
        <v>100</v>
      </c>
      <c r="D7">
        <v>2000</v>
      </c>
      <c r="E7">
        <f t="shared" si="3"/>
        <v>1500</v>
      </c>
      <c r="F7">
        <f>SUM(C$2:C7)</f>
        <v>435</v>
      </c>
      <c r="G7">
        <f>SUM(E$2:E7)</f>
        <v>6300</v>
      </c>
      <c r="H7">
        <f t="shared" si="1"/>
        <v>6.9047619047619052E-2</v>
      </c>
      <c r="I7">
        <f t="shared" si="0"/>
        <v>1.5873015873015872E-2</v>
      </c>
      <c r="J7">
        <f t="shared" si="2"/>
        <v>7.1587301587301588E-2</v>
      </c>
    </row>
    <row r="8" spans="2:13" x14ac:dyDescent="0.45">
      <c r="B8">
        <v>7</v>
      </c>
      <c r="C8">
        <v>110</v>
      </c>
      <c r="D8">
        <v>3000</v>
      </c>
      <c r="E8">
        <f t="shared" si="3"/>
        <v>2250</v>
      </c>
      <c r="F8">
        <f>SUM(C$2:C8)</f>
        <v>545</v>
      </c>
      <c r="G8">
        <f>SUM(E$2:E8)</f>
        <v>8550</v>
      </c>
      <c r="H8">
        <f t="shared" si="1"/>
        <v>6.3742690058479531E-2</v>
      </c>
      <c r="I8">
        <f t="shared" si="0"/>
        <v>1.2865497076023392E-2</v>
      </c>
      <c r="J8">
        <f t="shared" si="2"/>
        <v>6.2690058479532171E-2</v>
      </c>
    </row>
    <row r="9" spans="2:13" x14ac:dyDescent="0.45">
      <c r="B9">
        <v>8</v>
      </c>
      <c r="C9">
        <v>120</v>
      </c>
      <c r="D9">
        <v>4000</v>
      </c>
      <c r="E9">
        <f t="shared" si="3"/>
        <v>3000</v>
      </c>
      <c r="F9">
        <f>SUM(C$2:C9)</f>
        <v>665</v>
      </c>
      <c r="G9">
        <f>SUM(E$2:E9)</f>
        <v>11550</v>
      </c>
      <c r="H9">
        <f t="shared" si="1"/>
        <v>5.7575757575757579E-2</v>
      </c>
      <c r="I9">
        <f t="shared" si="0"/>
        <v>1.038961038961039E-2</v>
      </c>
      <c r="J9">
        <f t="shared" si="2"/>
        <v>5.4285714285714291E-2</v>
      </c>
    </row>
    <row r="10" spans="2:13" x14ac:dyDescent="0.45">
      <c r="B10">
        <v>9</v>
      </c>
      <c r="C10">
        <v>130</v>
      </c>
      <c r="D10">
        <v>4000</v>
      </c>
      <c r="E10">
        <f t="shared" si="3"/>
        <v>3000</v>
      </c>
      <c r="F10">
        <f>SUM(C$2:C10)</f>
        <v>795</v>
      </c>
      <c r="G10">
        <f>SUM(E$2:E10)</f>
        <v>14550</v>
      </c>
      <c r="H10">
        <f t="shared" si="1"/>
        <v>5.4639175257731959E-2</v>
      </c>
      <c r="I10">
        <f t="shared" si="0"/>
        <v>8.9347079037800682E-3</v>
      </c>
      <c r="J10">
        <f t="shared" si="2"/>
        <v>4.9759450171821304E-2</v>
      </c>
    </row>
    <row r="11" spans="2:13" x14ac:dyDescent="0.45">
      <c r="B11">
        <v>10</v>
      </c>
      <c r="C11">
        <v>150</v>
      </c>
      <c r="D11">
        <v>6000</v>
      </c>
      <c r="E11">
        <f t="shared" si="3"/>
        <v>4500</v>
      </c>
      <c r="F11">
        <f>SUM(C$2:C11)</f>
        <v>945</v>
      </c>
      <c r="G11">
        <f>SUM(E$2:E11)</f>
        <v>19050</v>
      </c>
      <c r="H11">
        <f t="shared" si="1"/>
        <v>4.9606299212598425E-2</v>
      </c>
      <c r="I11">
        <f t="shared" si="0"/>
        <v>7.874015748031496E-3</v>
      </c>
      <c r="J11">
        <f t="shared" si="2"/>
        <v>4.4724409448818898E-2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ED1D-21CE-4F15-8C70-F4AE92388D13}">
  <dimension ref="B1:M15"/>
  <sheetViews>
    <sheetView zoomScale="78" workbookViewId="0">
      <selection activeCell="E2" sqref="E2"/>
    </sheetView>
  </sheetViews>
  <sheetFormatPr defaultRowHeight="14.25" x14ac:dyDescent="0.45"/>
  <cols>
    <col min="8" max="8" width="14.59765625" bestFit="1" customWidth="1"/>
    <col min="9" max="9" width="19.3984375" bestFit="1" customWidth="1"/>
    <col min="12" max="12" width="12.265625" bestFit="1" customWidth="1"/>
    <col min="13" max="13" width="19.73046875" bestFit="1" customWidth="1"/>
  </cols>
  <sheetData>
    <row r="1" spans="2:13" x14ac:dyDescent="0.45">
      <c r="B1" t="s">
        <v>6</v>
      </c>
      <c r="C1" t="s">
        <v>0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L1" t="s">
        <v>8</v>
      </c>
      <c r="M1" t="s">
        <v>9</v>
      </c>
    </row>
    <row r="2" spans="2:13" x14ac:dyDescent="0.45">
      <c r="B2">
        <v>1</v>
      </c>
      <c r="C2">
        <v>50</v>
      </c>
      <c r="D2">
        <v>2000</v>
      </c>
      <c r="E2">
        <f>D2*0.9+5000*0.75</f>
        <v>5550</v>
      </c>
      <c r="F2">
        <f>SUM(C$2:C2)</f>
        <v>50</v>
      </c>
      <c r="G2">
        <f>SUM(E$2:E2)</f>
        <v>5550</v>
      </c>
      <c r="H2">
        <f>F2/G2</f>
        <v>9.0090090090090089E-3</v>
      </c>
      <c r="I2">
        <f t="shared" ref="I2:I15" si="0">C2/G2</f>
        <v>9.0090090090090089E-3</v>
      </c>
      <c r="J2">
        <f>($L$2*H2+($M$2-$L$2)*I2)/100</f>
        <v>2.2522522522522525E-2</v>
      </c>
      <c r="L2">
        <f>50</f>
        <v>50</v>
      </c>
      <c r="M2">
        <f>250</f>
        <v>250</v>
      </c>
    </row>
    <row r="3" spans="2:13" x14ac:dyDescent="0.45">
      <c r="B3">
        <v>2</v>
      </c>
      <c r="C3">
        <v>60</v>
      </c>
      <c r="D3">
        <v>500</v>
      </c>
      <c r="E3">
        <f>D3*0.75</f>
        <v>375</v>
      </c>
      <c r="F3">
        <f>SUM(C$2:C3)</f>
        <v>110</v>
      </c>
      <c r="G3">
        <f>SUM(E$2:E3)</f>
        <v>5925</v>
      </c>
      <c r="H3">
        <f t="shared" ref="H3:H15" si="1">F3/G3</f>
        <v>1.8565400843881856E-2</v>
      </c>
      <c r="I3">
        <f t="shared" si="0"/>
        <v>1.0126582278481013E-2</v>
      </c>
      <c r="J3">
        <f t="shared" ref="J3:J15" si="2">($L$2*H3+($M$2-$L$2)*I3)/100</f>
        <v>2.9535864978902957E-2</v>
      </c>
    </row>
    <row r="4" spans="2:13" x14ac:dyDescent="0.45">
      <c r="B4">
        <v>3</v>
      </c>
      <c r="C4">
        <v>80</v>
      </c>
      <c r="D4">
        <v>500</v>
      </c>
      <c r="E4">
        <f t="shared" ref="E4:E15" si="3">D4*0.75</f>
        <v>375</v>
      </c>
      <c r="F4">
        <f>SUM(C$2:C4)</f>
        <v>190</v>
      </c>
      <c r="G4">
        <f>SUM(E$2:E4)</f>
        <v>6300</v>
      </c>
      <c r="H4">
        <f t="shared" si="1"/>
        <v>3.0158730158730159E-2</v>
      </c>
      <c r="I4">
        <f t="shared" si="0"/>
        <v>1.2698412698412698E-2</v>
      </c>
      <c r="J4">
        <f t="shared" si="2"/>
        <v>4.0476190476190471E-2</v>
      </c>
    </row>
    <row r="5" spans="2:13" x14ac:dyDescent="0.45">
      <c r="B5">
        <v>4</v>
      </c>
      <c r="C5">
        <v>100</v>
      </c>
      <c r="D5">
        <v>1000</v>
      </c>
      <c r="E5">
        <f t="shared" si="3"/>
        <v>750</v>
      </c>
      <c r="F5">
        <f>SUM(C$2:C5)</f>
        <v>290</v>
      </c>
      <c r="G5">
        <f>SUM(E$2:E5)</f>
        <v>7050</v>
      </c>
      <c r="H5">
        <f t="shared" si="1"/>
        <v>4.1134751773049642E-2</v>
      </c>
      <c r="I5">
        <f t="shared" si="0"/>
        <v>1.4184397163120567E-2</v>
      </c>
      <c r="J5">
        <f t="shared" si="2"/>
        <v>4.8936170212765952E-2</v>
      </c>
    </row>
    <row r="6" spans="2:13" x14ac:dyDescent="0.45">
      <c r="B6">
        <v>5</v>
      </c>
      <c r="C6">
        <v>120</v>
      </c>
      <c r="D6">
        <v>1000</v>
      </c>
      <c r="E6">
        <f t="shared" si="3"/>
        <v>750</v>
      </c>
      <c r="F6">
        <f>SUM(C$2:C6)</f>
        <v>410</v>
      </c>
      <c r="G6">
        <f>SUM(E$2:E6)</f>
        <v>7800</v>
      </c>
      <c r="H6">
        <f t="shared" si="1"/>
        <v>5.2564102564102565E-2</v>
      </c>
      <c r="I6">
        <f t="shared" si="0"/>
        <v>1.5384615384615385E-2</v>
      </c>
      <c r="J6">
        <f t="shared" si="2"/>
        <v>5.705128205128205E-2</v>
      </c>
    </row>
    <row r="7" spans="2:13" x14ac:dyDescent="0.45">
      <c r="B7">
        <v>6</v>
      </c>
      <c r="C7">
        <v>140</v>
      </c>
      <c r="D7">
        <v>1500</v>
      </c>
      <c r="E7">
        <f t="shared" si="3"/>
        <v>1125</v>
      </c>
      <c r="F7">
        <f>SUM(C$2:C7)</f>
        <v>550</v>
      </c>
      <c r="G7">
        <f>SUM(E$2:E7)</f>
        <v>8925</v>
      </c>
      <c r="H7">
        <f t="shared" si="1"/>
        <v>6.1624649859943981E-2</v>
      </c>
      <c r="I7">
        <f t="shared" si="0"/>
        <v>1.5686274509803921E-2</v>
      </c>
      <c r="J7">
        <f t="shared" si="2"/>
        <v>6.2184873949579833E-2</v>
      </c>
    </row>
    <row r="8" spans="2:13" x14ac:dyDescent="0.45">
      <c r="B8">
        <v>7</v>
      </c>
      <c r="C8">
        <v>160</v>
      </c>
      <c r="D8">
        <v>1500</v>
      </c>
      <c r="E8">
        <f t="shared" si="3"/>
        <v>1125</v>
      </c>
      <c r="F8">
        <f>SUM(C$2:C8)</f>
        <v>710</v>
      </c>
      <c r="G8">
        <f>SUM(E$2:E8)</f>
        <v>10050</v>
      </c>
      <c r="H8">
        <f t="shared" si="1"/>
        <v>7.0646766169154232E-2</v>
      </c>
      <c r="I8">
        <f t="shared" si="0"/>
        <v>1.5920398009950248E-2</v>
      </c>
      <c r="J8">
        <f t="shared" si="2"/>
        <v>6.7164179104477612E-2</v>
      </c>
    </row>
    <row r="9" spans="2:13" x14ac:dyDescent="0.45">
      <c r="B9">
        <v>8</v>
      </c>
      <c r="C9">
        <v>180</v>
      </c>
      <c r="D9">
        <v>2000</v>
      </c>
      <c r="E9">
        <f t="shared" si="3"/>
        <v>1500</v>
      </c>
      <c r="F9">
        <f>SUM(C$2:C9)</f>
        <v>890</v>
      </c>
      <c r="G9">
        <f>SUM(E$2:E9)</f>
        <v>11550</v>
      </c>
      <c r="H9">
        <f t="shared" si="1"/>
        <v>7.7056277056277059E-2</v>
      </c>
      <c r="I9">
        <f t="shared" si="0"/>
        <v>1.5584415584415584E-2</v>
      </c>
      <c r="J9">
        <f t="shared" si="2"/>
        <v>6.9696969696969702E-2</v>
      </c>
    </row>
    <row r="10" spans="2:13" x14ac:dyDescent="0.45">
      <c r="B10">
        <v>9</v>
      </c>
      <c r="C10">
        <v>200</v>
      </c>
      <c r="D10">
        <v>3000</v>
      </c>
      <c r="E10">
        <f t="shared" si="3"/>
        <v>2250</v>
      </c>
      <c r="F10">
        <f>SUM(C$2:C10)</f>
        <v>1090</v>
      </c>
      <c r="G10">
        <f>SUM(E$2:E10)</f>
        <v>13800</v>
      </c>
      <c r="H10">
        <f t="shared" si="1"/>
        <v>7.8985507246376818E-2</v>
      </c>
      <c r="I10">
        <f t="shared" si="0"/>
        <v>1.4492753623188406E-2</v>
      </c>
      <c r="J10">
        <f t="shared" si="2"/>
        <v>6.8478260869565211E-2</v>
      </c>
    </row>
    <row r="11" spans="2:13" x14ac:dyDescent="0.45">
      <c r="B11">
        <v>10</v>
      </c>
      <c r="C11">
        <v>220</v>
      </c>
      <c r="D11">
        <v>4000</v>
      </c>
      <c r="E11">
        <f t="shared" si="3"/>
        <v>3000</v>
      </c>
      <c r="F11">
        <f>SUM(C$2:C11)</f>
        <v>1310</v>
      </c>
      <c r="G11">
        <f>SUM(E$2:E11)</f>
        <v>16800</v>
      </c>
      <c r="H11">
        <f t="shared" si="1"/>
        <v>7.7976190476190477E-2</v>
      </c>
      <c r="I11">
        <f t="shared" si="0"/>
        <v>1.3095238095238096E-2</v>
      </c>
      <c r="J11">
        <f t="shared" si="2"/>
        <v>6.5178571428571419E-2</v>
      </c>
    </row>
    <row r="12" spans="2:13" x14ac:dyDescent="0.45">
      <c r="B12">
        <v>11</v>
      </c>
      <c r="C12">
        <v>240</v>
      </c>
      <c r="D12">
        <v>5000</v>
      </c>
      <c r="E12">
        <f t="shared" si="3"/>
        <v>3750</v>
      </c>
      <c r="F12">
        <f>SUM(C$2:C12)</f>
        <v>1550</v>
      </c>
      <c r="G12">
        <f>SUM(E$2:E12)</f>
        <v>20550</v>
      </c>
      <c r="H12">
        <f t="shared" si="1"/>
        <v>7.5425790754257913E-2</v>
      </c>
      <c r="I12">
        <f t="shared" si="0"/>
        <v>1.167883211678832E-2</v>
      </c>
      <c r="J12">
        <f t="shared" si="2"/>
        <v>6.1070559610705594E-2</v>
      </c>
    </row>
    <row r="13" spans="2:13" x14ac:dyDescent="0.45">
      <c r="B13">
        <v>12</v>
      </c>
      <c r="C13">
        <v>260</v>
      </c>
      <c r="D13">
        <v>6000</v>
      </c>
      <c r="E13">
        <f t="shared" si="3"/>
        <v>4500</v>
      </c>
      <c r="F13">
        <f>SUM(C$2:C13)</f>
        <v>1810</v>
      </c>
      <c r="G13">
        <f>SUM(E$2:E13)</f>
        <v>25050</v>
      </c>
      <c r="H13">
        <f t="shared" si="1"/>
        <v>7.2255489021956082E-2</v>
      </c>
      <c r="I13">
        <f t="shared" si="0"/>
        <v>1.0379241516966068E-2</v>
      </c>
      <c r="J13">
        <f t="shared" si="2"/>
        <v>5.6886227544910177E-2</v>
      </c>
    </row>
    <row r="14" spans="2:13" x14ac:dyDescent="0.45">
      <c r="B14">
        <v>13</v>
      </c>
      <c r="C14">
        <v>280</v>
      </c>
      <c r="D14">
        <v>7000</v>
      </c>
      <c r="E14">
        <f t="shared" si="3"/>
        <v>5250</v>
      </c>
      <c r="F14">
        <f>SUM(C$2:C14)</f>
        <v>2090</v>
      </c>
      <c r="G14">
        <f>SUM(E$2:E14)</f>
        <v>30300</v>
      </c>
      <c r="H14">
        <f t="shared" si="1"/>
        <v>6.8976897689768973E-2</v>
      </c>
      <c r="I14">
        <f t="shared" si="0"/>
        <v>9.240924092409241E-3</v>
      </c>
      <c r="J14">
        <f t="shared" si="2"/>
        <v>5.2970297029702962E-2</v>
      </c>
    </row>
    <row r="15" spans="2:13" x14ac:dyDescent="0.45">
      <c r="B15">
        <v>14</v>
      </c>
      <c r="C15">
        <v>300</v>
      </c>
      <c r="D15">
        <v>10000</v>
      </c>
      <c r="E15">
        <f t="shared" si="3"/>
        <v>7500</v>
      </c>
      <c r="F15">
        <f>SUM(C$2:C15)</f>
        <v>2390</v>
      </c>
      <c r="G15">
        <f>SUM(E$2:E15)</f>
        <v>37800</v>
      </c>
      <c r="H15">
        <f t="shared" si="1"/>
        <v>6.322751322751323E-2</v>
      </c>
      <c r="I15">
        <f t="shared" si="0"/>
        <v>7.9365079365079361E-3</v>
      </c>
      <c r="J15">
        <f t="shared" si="2"/>
        <v>4.7486772486772487E-2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F64A-3891-4836-8F1B-6BAFB68560F0}">
  <dimension ref="B1:M15"/>
  <sheetViews>
    <sheetView tabSelected="1" zoomScale="78" workbookViewId="0">
      <selection activeCell="E2" sqref="E2"/>
    </sheetView>
  </sheetViews>
  <sheetFormatPr defaultRowHeight="14.25" x14ac:dyDescent="0.45"/>
  <cols>
    <col min="8" max="8" width="14.59765625" bestFit="1" customWidth="1"/>
    <col min="9" max="9" width="19.3984375" bestFit="1" customWidth="1"/>
    <col min="12" max="12" width="12.265625" bestFit="1" customWidth="1"/>
    <col min="13" max="13" width="19.73046875" bestFit="1" customWidth="1"/>
  </cols>
  <sheetData>
    <row r="1" spans="2:13" x14ac:dyDescent="0.45">
      <c r="B1" t="s">
        <v>6</v>
      </c>
      <c r="C1" t="s">
        <v>0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7</v>
      </c>
      <c r="L1" t="s">
        <v>8</v>
      </c>
      <c r="M1" t="s">
        <v>9</v>
      </c>
    </row>
    <row r="2" spans="2:13" x14ac:dyDescent="0.45">
      <c r="B2">
        <v>1</v>
      </c>
      <c r="C2">
        <v>50</v>
      </c>
      <c r="D2">
        <v>2000</v>
      </c>
      <c r="E2">
        <f>D2*0.9+20000*0.75</f>
        <v>16800</v>
      </c>
      <c r="F2">
        <f>SUM(C$2:C2)</f>
        <v>50</v>
      </c>
      <c r="G2">
        <f>SUM(E$2:E2)</f>
        <v>16800</v>
      </c>
      <c r="H2">
        <f>F2/G2</f>
        <v>2.976190476190476E-3</v>
      </c>
      <c r="I2">
        <f t="shared" ref="I2:I15" si="0">C2/G2</f>
        <v>2.976190476190476E-3</v>
      </c>
      <c r="J2">
        <f>($L$2*H2+($M$2-$L$2)*I2)/100</f>
        <v>7.4404761904761909E-3</v>
      </c>
      <c r="L2">
        <f>50</f>
        <v>50</v>
      </c>
      <c r="M2">
        <f>250</f>
        <v>250</v>
      </c>
    </row>
    <row r="3" spans="2:13" x14ac:dyDescent="0.45">
      <c r="B3">
        <v>2</v>
      </c>
      <c r="C3">
        <v>60</v>
      </c>
      <c r="D3">
        <v>500</v>
      </c>
      <c r="E3">
        <f>D3*0.75</f>
        <v>375</v>
      </c>
      <c r="F3">
        <f>SUM(C$2:C3)</f>
        <v>110</v>
      </c>
      <c r="G3">
        <f>SUM(E$2:E3)</f>
        <v>17175</v>
      </c>
      <c r="H3">
        <f t="shared" ref="H3:H15" si="1">F3/G3</f>
        <v>6.4046579330422123E-3</v>
      </c>
      <c r="I3">
        <f t="shared" si="0"/>
        <v>3.4934497816593887E-3</v>
      </c>
      <c r="J3">
        <f t="shared" ref="J3:J15" si="2">($L$2*H3+($M$2-$L$2)*I3)/100</f>
        <v>1.0189228529839882E-2</v>
      </c>
    </row>
    <row r="4" spans="2:13" x14ac:dyDescent="0.45">
      <c r="B4">
        <v>3</v>
      </c>
      <c r="C4">
        <v>80</v>
      </c>
      <c r="D4">
        <v>500</v>
      </c>
      <c r="E4">
        <f t="shared" ref="E4:E15" si="3">D4*0.75</f>
        <v>375</v>
      </c>
      <c r="F4">
        <f>SUM(C$2:C4)</f>
        <v>190</v>
      </c>
      <c r="G4">
        <f>SUM(E$2:E4)</f>
        <v>17550</v>
      </c>
      <c r="H4">
        <f t="shared" si="1"/>
        <v>1.0826210826210826E-2</v>
      </c>
      <c r="I4">
        <f t="shared" si="0"/>
        <v>4.5584045584045581E-3</v>
      </c>
      <c r="J4">
        <f t="shared" si="2"/>
        <v>1.4529914529914529E-2</v>
      </c>
    </row>
    <row r="5" spans="2:13" x14ac:dyDescent="0.45">
      <c r="B5">
        <v>4</v>
      </c>
      <c r="C5">
        <v>100</v>
      </c>
      <c r="D5">
        <v>1000</v>
      </c>
      <c r="E5">
        <f t="shared" si="3"/>
        <v>750</v>
      </c>
      <c r="F5">
        <f>SUM(C$2:C5)</f>
        <v>290</v>
      </c>
      <c r="G5">
        <f>SUM(E$2:E5)</f>
        <v>18300</v>
      </c>
      <c r="H5">
        <f t="shared" si="1"/>
        <v>1.5846994535519125E-2</v>
      </c>
      <c r="I5">
        <f t="shared" si="0"/>
        <v>5.4644808743169399E-3</v>
      </c>
      <c r="J5">
        <f t="shared" si="2"/>
        <v>1.8852459016393444E-2</v>
      </c>
    </row>
    <row r="6" spans="2:13" x14ac:dyDescent="0.45">
      <c r="B6">
        <v>5</v>
      </c>
      <c r="C6">
        <v>120</v>
      </c>
      <c r="D6">
        <v>1000</v>
      </c>
      <c r="E6">
        <f t="shared" si="3"/>
        <v>750</v>
      </c>
      <c r="F6">
        <f>SUM(C$2:C6)</f>
        <v>410</v>
      </c>
      <c r="G6">
        <f>SUM(E$2:E6)</f>
        <v>19050</v>
      </c>
      <c r="H6">
        <f t="shared" si="1"/>
        <v>2.1522309711286089E-2</v>
      </c>
      <c r="I6">
        <f t="shared" si="0"/>
        <v>6.2992125984251968E-3</v>
      </c>
      <c r="J6">
        <f t="shared" si="2"/>
        <v>2.3359580052493438E-2</v>
      </c>
    </row>
    <row r="7" spans="2:13" x14ac:dyDescent="0.45">
      <c r="B7">
        <v>6</v>
      </c>
      <c r="C7">
        <v>140</v>
      </c>
      <c r="D7">
        <v>1500</v>
      </c>
      <c r="E7">
        <f t="shared" si="3"/>
        <v>1125</v>
      </c>
      <c r="F7">
        <f>SUM(C$2:C7)</f>
        <v>550</v>
      </c>
      <c r="G7">
        <f>SUM(E$2:E7)</f>
        <v>20175</v>
      </c>
      <c r="H7">
        <f t="shared" si="1"/>
        <v>2.7261462205700124E-2</v>
      </c>
      <c r="I7">
        <f t="shared" si="0"/>
        <v>6.9392812887236676E-3</v>
      </c>
      <c r="J7">
        <f t="shared" si="2"/>
        <v>2.7509293680297399E-2</v>
      </c>
    </row>
    <row r="8" spans="2:13" x14ac:dyDescent="0.45">
      <c r="B8">
        <v>7</v>
      </c>
      <c r="C8">
        <v>160</v>
      </c>
      <c r="D8">
        <v>1500</v>
      </c>
      <c r="E8">
        <f t="shared" si="3"/>
        <v>1125</v>
      </c>
      <c r="F8">
        <f>SUM(C$2:C8)</f>
        <v>710</v>
      </c>
      <c r="G8">
        <f>SUM(E$2:E8)</f>
        <v>21300</v>
      </c>
      <c r="H8">
        <f t="shared" si="1"/>
        <v>3.3333333333333333E-2</v>
      </c>
      <c r="I8">
        <f t="shared" si="0"/>
        <v>7.5117370892018778E-3</v>
      </c>
      <c r="J8">
        <f t="shared" si="2"/>
        <v>3.1690140845070422E-2</v>
      </c>
    </row>
    <row r="9" spans="2:13" x14ac:dyDescent="0.45">
      <c r="B9">
        <v>8</v>
      </c>
      <c r="C9">
        <v>180</v>
      </c>
      <c r="D9">
        <v>2000</v>
      </c>
      <c r="E9">
        <f t="shared" si="3"/>
        <v>1500</v>
      </c>
      <c r="F9">
        <f>SUM(C$2:C9)</f>
        <v>890</v>
      </c>
      <c r="G9">
        <f>SUM(E$2:E9)</f>
        <v>22800</v>
      </c>
      <c r="H9">
        <f t="shared" si="1"/>
        <v>3.9035087719298249E-2</v>
      </c>
      <c r="I9">
        <f t="shared" si="0"/>
        <v>7.8947368421052634E-3</v>
      </c>
      <c r="J9">
        <f t="shared" si="2"/>
        <v>3.5307017543859648E-2</v>
      </c>
    </row>
    <row r="10" spans="2:13" x14ac:dyDescent="0.45">
      <c r="B10">
        <v>9</v>
      </c>
      <c r="C10">
        <v>200</v>
      </c>
      <c r="D10">
        <v>3000</v>
      </c>
      <c r="E10">
        <f t="shared" si="3"/>
        <v>2250</v>
      </c>
      <c r="F10">
        <f>SUM(C$2:C10)</f>
        <v>1090</v>
      </c>
      <c r="G10">
        <f>SUM(E$2:E10)</f>
        <v>25050</v>
      </c>
      <c r="H10">
        <f t="shared" si="1"/>
        <v>4.3512974051896205E-2</v>
      </c>
      <c r="I10">
        <f t="shared" si="0"/>
        <v>7.9840319361277438E-3</v>
      </c>
      <c r="J10">
        <f t="shared" si="2"/>
        <v>3.772455089820359E-2</v>
      </c>
    </row>
    <row r="11" spans="2:13" x14ac:dyDescent="0.45">
      <c r="B11">
        <v>10</v>
      </c>
      <c r="C11">
        <v>220</v>
      </c>
      <c r="D11">
        <v>4000</v>
      </c>
      <c r="E11">
        <f t="shared" si="3"/>
        <v>3000</v>
      </c>
      <c r="F11">
        <f>SUM(C$2:C11)</f>
        <v>1310</v>
      </c>
      <c r="G11">
        <f>SUM(E$2:E11)</f>
        <v>28050</v>
      </c>
      <c r="H11">
        <f t="shared" si="1"/>
        <v>4.6702317290552582E-2</v>
      </c>
      <c r="I11">
        <f t="shared" si="0"/>
        <v>7.8431372549019607E-3</v>
      </c>
      <c r="J11">
        <f t="shared" si="2"/>
        <v>3.9037433155080209E-2</v>
      </c>
    </row>
    <row r="12" spans="2:13" x14ac:dyDescent="0.45">
      <c r="B12">
        <v>11</v>
      </c>
      <c r="C12">
        <v>240</v>
      </c>
      <c r="D12">
        <v>5000</v>
      </c>
      <c r="E12">
        <f t="shared" si="3"/>
        <v>3750</v>
      </c>
      <c r="F12">
        <f>SUM(C$2:C12)</f>
        <v>1550</v>
      </c>
      <c r="G12">
        <f>SUM(E$2:E12)</f>
        <v>31800</v>
      </c>
      <c r="H12">
        <f t="shared" si="1"/>
        <v>4.8742138364779877E-2</v>
      </c>
      <c r="I12">
        <f t="shared" si="0"/>
        <v>7.5471698113207548E-3</v>
      </c>
      <c r="J12">
        <f t="shared" si="2"/>
        <v>3.9465408805031445E-2</v>
      </c>
    </row>
    <row r="13" spans="2:13" x14ac:dyDescent="0.45">
      <c r="B13">
        <v>12</v>
      </c>
      <c r="C13">
        <v>260</v>
      </c>
      <c r="D13">
        <v>6000</v>
      </c>
      <c r="E13">
        <f t="shared" si="3"/>
        <v>4500</v>
      </c>
      <c r="F13">
        <f>SUM(C$2:C13)</f>
        <v>1810</v>
      </c>
      <c r="G13">
        <f>SUM(E$2:E13)</f>
        <v>36300</v>
      </c>
      <c r="H13">
        <f t="shared" si="1"/>
        <v>4.9862258953168044E-2</v>
      </c>
      <c r="I13">
        <f t="shared" si="0"/>
        <v>7.1625344352617077E-3</v>
      </c>
      <c r="J13">
        <f t="shared" si="2"/>
        <v>3.9256198347107446E-2</v>
      </c>
    </row>
    <row r="14" spans="2:13" x14ac:dyDescent="0.45">
      <c r="B14">
        <v>13</v>
      </c>
      <c r="C14">
        <v>280</v>
      </c>
      <c r="D14">
        <v>7000</v>
      </c>
      <c r="E14">
        <f t="shared" si="3"/>
        <v>5250</v>
      </c>
      <c r="F14">
        <f>SUM(C$2:C14)</f>
        <v>2090</v>
      </c>
      <c r="G14">
        <f>SUM(E$2:E14)</f>
        <v>41550</v>
      </c>
      <c r="H14">
        <f t="shared" si="1"/>
        <v>5.0300842358604089E-2</v>
      </c>
      <c r="I14">
        <f t="shared" si="0"/>
        <v>6.7388688327316487E-3</v>
      </c>
      <c r="J14">
        <f t="shared" si="2"/>
        <v>3.8628158844765344E-2</v>
      </c>
    </row>
    <row r="15" spans="2:13" x14ac:dyDescent="0.45">
      <c r="B15">
        <v>14</v>
      </c>
      <c r="C15">
        <v>300</v>
      </c>
      <c r="D15">
        <v>10000</v>
      </c>
      <c r="E15">
        <f t="shared" si="3"/>
        <v>7500</v>
      </c>
      <c r="F15">
        <f>SUM(C$2:C15)</f>
        <v>2390</v>
      </c>
      <c r="G15">
        <f>SUM(E$2:E15)</f>
        <v>49050</v>
      </c>
      <c r="H15">
        <f t="shared" si="1"/>
        <v>4.8725790010193677E-2</v>
      </c>
      <c r="I15">
        <f t="shared" si="0"/>
        <v>6.1162079510703364E-3</v>
      </c>
      <c r="J15">
        <f t="shared" si="2"/>
        <v>3.6595310907237513E-2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6ABEAF-2871-42D7-B9A6-9E2D7E9FBB85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3bd2448e-bc80-4060-9b44-5204c1169a85"/>
    <ds:schemaRef ds:uri="http://schemas.openxmlformats.org/package/2006/metadata/core-properties"/>
    <ds:schemaRef ds:uri="http://schemas.microsoft.com/office/2006/metadata/properties"/>
    <ds:schemaRef ds:uri="08ceecc5-2daa-47f4-9f70-3b427bddc80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7EA299E-CBF7-4DA0-8736-D59751C319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7C3D58-BBB7-4525-B583-94BE667B97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VZ61</vt:lpstr>
      <vt:lpstr>Ithaca</vt:lpstr>
      <vt:lpstr>S75</vt:lpstr>
      <vt:lpstr>M92F</vt:lpstr>
      <vt:lpstr>MP5</vt:lpstr>
      <vt:lpstr>VZ61 crit</vt:lpstr>
      <vt:lpstr>VZ61 crit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2026-09-10T23:12:14Z</dcterms:created>
  <dcterms:modified xsi:type="dcterms:W3CDTF">2026-09-29T04:36:32Z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