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lks\Documents\Game mechanics\repo\"/>
    </mc:Choice>
  </mc:AlternateContent>
  <xr:revisionPtr revIDLastSave="0" documentId="8_{86B900C8-F2CC-450B-9645-D7022B575ABC}" xr6:coauthVersionLast="47" xr6:coauthVersionMax="47" xr10:uidLastSave="{00000000-0000-0000-0000-000000000000}"/>
  <bookViews>
    <workbookView xWindow="-98" yWindow="-98" windowWidth="19396" windowHeight="11475" xr2:uid="{B36563B5-C4CC-494B-A7D0-55797084BA7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6" i="1" l="1"/>
  <c r="Z2" i="1"/>
  <c r="Z5" i="1"/>
  <c r="Z7" i="1"/>
  <c r="Z13" i="1"/>
  <c r="Z11" i="1"/>
  <c r="Z8" i="1"/>
  <c r="Z15" i="1"/>
  <c r="Z12" i="1"/>
  <c r="Z14" i="1"/>
  <c r="Z17" i="1"/>
  <c r="Z3" i="1"/>
  <c r="Z4" i="1"/>
  <c r="Z16" i="1"/>
  <c r="Z20" i="1"/>
  <c r="Z9" i="1"/>
  <c r="Z10" i="1"/>
  <c r="Z18" i="1"/>
  <c r="Z19" i="1"/>
  <c r="Z21" i="1"/>
  <c r="AA6" i="1"/>
  <c r="AA3" i="1"/>
  <c r="AA4" i="1"/>
  <c r="AA5" i="1"/>
  <c r="AA21" i="1"/>
  <c r="AA9" i="1"/>
  <c r="AA10" i="1"/>
  <c r="AA2" i="1"/>
  <c r="AA8" i="1"/>
  <c r="AA11" i="1"/>
  <c r="AA7" i="1"/>
  <c r="AA13" i="1"/>
  <c r="AA14" i="1"/>
  <c r="AA12" i="1"/>
  <c r="AA15" i="1"/>
  <c r="AA16" i="1"/>
  <c r="AA17" i="1"/>
  <c r="AA18" i="1"/>
  <c r="AA19" i="1"/>
  <c r="AA20" i="1"/>
  <c r="L13" i="1"/>
</calcChain>
</file>

<file path=xl/sharedStrings.xml><?xml version="1.0" encoding="utf-8"?>
<sst xmlns="http://schemas.openxmlformats.org/spreadsheetml/2006/main" count="50" uniqueCount="48">
  <si>
    <t>Uzi</t>
  </si>
  <si>
    <t>damage</t>
  </si>
  <si>
    <t>bullets</t>
  </si>
  <si>
    <t>range mod</t>
  </si>
  <si>
    <t>range</t>
  </si>
  <si>
    <t>gain range</t>
  </si>
  <si>
    <t>penetration layers</t>
  </si>
  <si>
    <t>penetration power</t>
  </si>
  <si>
    <t>penetration max distance</t>
  </si>
  <si>
    <t>cycle time</t>
  </si>
  <si>
    <t>clip size</t>
  </si>
  <si>
    <t>carry capacity</t>
  </si>
  <si>
    <t>recoil</t>
  </si>
  <si>
    <t>spread per shot</t>
  </si>
  <si>
    <t>max spread</t>
  </si>
  <si>
    <t>spread decay</t>
  </si>
  <si>
    <t>duck spread</t>
  </si>
  <si>
    <t>stand spread</t>
  </si>
  <si>
    <t>air spread</t>
  </si>
  <si>
    <t>movement spread</t>
  </si>
  <si>
    <t>Mac</t>
  </si>
  <si>
    <t>MP5</t>
  </si>
  <si>
    <t>pellet pitch</t>
  </si>
  <si>
    <t>pellet yaw</t>
  </si>
  <si>
    <t>chrome</t>
  </si>
  <si>
    <t>pump</t>
  </si>
  <si>
    <t>enemy penetration dist</t>
  </si>
  <si>
    <t>M16</t>
  </si>
  <si>
    <t>SCAR</t>
  </si>
  <si>
    <t>AK47</t>
  </si>
  <si>
    <t>SG552</t>
  </si>
  <si>
    <t>Benelli</t>
  </si>
  <si>
    <t>Spas</t>
  </si>
  <si>
    <t>Mini</t>
  </si>
  <si>
    <t>MSG3</t>
  </si>
  <si>
    <t>Scout</t>
  </si>
  <si>
    <t>AWP</t>
  </si>
  <si>
    <t>M79</t>
  </si>
  <si>
    <t>M60</t>
  </si>
  <si>
    <t>P220</t>
  </si>
  <si>
    <t>inf</t>
  </si>
  <si>
    <t>dual-wield</t>
  </si>
  <si>
    <t>Deagle</t>
  </si>
  <si>
    <t>weapon</t>
  </si>
  <si>
    <t>DPS</t>
  </si>
  <si>
    <t>common dps</t>
  </si>
  <si>
    <t>common damage mult</t>
  </si>
  <si>
    <t>Reload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</si>
</sst>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04E150-37C9-429A-B5E4-734AA3DFF93B}" name="Table1" displayName="Table1" ref="B1:AA21" totalsRowShown="0">
  <autoFilter ref="B1:AA21" xr:uid="{D904E150-37C9-429A-B5E4-734AA3DFF93B}"/>
  <sortState xmlns:xlrd2="http://schemas.microsoft.com/office/spreadsheetml/2017/richdata2" ref="B2:AA21">
    <sortCondition descending="1" ref="AA1:AA21"/>
  </sortState>
  <tableColumns count="26">
    <tableColumn id="1" xr3:uid="{E5A82758-45B7-4108-822F-BF6DECB8A3A5}" name="weapon"/>
    <tableColumn id="2" xr3:uid="{A5627480-6589-4910-BA2E-CFED67EF662C}" name="damage"/>
    <tableColumn id="3" xr3:uid="{D437B5E4-DE43-43BF-B5CE-E29BF605C057}" name="bullets"/>
    <tableColumn id="4" xr3:uid="{882E41A0-D067-42E9-B582-79625B8E629C}" name="range mod"/>
    <tableColumn id="5" xr3:uid="{0E8D28DA-F5A9-4167-BD0E-20CEB2004D5F}" name="range"/>
    <tableColumn id="6" xr3:uid="{5705A02B-1E94-4B1F-AB08-188433520905}" name="gain range"/>
    <tableColumn id="7" xr3:uid="{A8BBED23-17F0-43C3-A207-7E7B54868E17}" name="penetration layers"/>
    <tableColumn id="8" xr3:uid="{55E1BD89-A27D-41DA-BDD4-5039FD533389}" name="penetration power"/>
    <tableColumn id="9" xr3:uid="{E762C949-A6CF-4EBC-A06F-9EFA05FB9D43}" name="penetration max distance"/>
    <tableColumn id="10" xr3:uid="{DA6BDFC7-2EAB-4BBE-949C-4A22546E4633}" name="enemy penetration dist"/>
    <tableColumn id="11" xr3:uid="{F86307EE-C002-4331-A7AD-5F5D963444D9}" name="cycle time"/>
    <tableColumn id="12" xr3:uid="{85D9F330-A98C-4D17-A720-C2042239DBED}" name="clip size"/>
    <tableColumn id="13" xr3:uid="{D3D54C41-89D0-4E5A-AF35-19A2B0C4ECC0}" name="carry capacity"/>
    <tableColumn id="27" xr3:uid="{70085B53-8EED-4EB8-B3DA-1C7B600EFFFC}" name="Reload Time"/>
    <tableColumn id="14" xr3:uid="{1E46C4F5-BB1E-4360-B253-710C5FC79AFC}" name="recoil"/>
    <tableColumn id="15" xr3:uid="{182C5CBF-52DC-4DB5-85E2-912391438350}" name="spread per shot"/>
    <tableColumn id="16" xr3:uid="{147B7F07-AE46-4338-9643-423B299BBCD9}" name="max spread"/>
    <tableColumn id="17" xr3:uid="{99F7085B-D8F2-4338-A3AA-BDC954FAA057}" name="spread decay"/>
    <tableColumn id="18" xr3:uid="{E14AE092-6A11-4257-BE71-AC90FA4B576E}" name="duck spread"/>
    <tableColumn id="19" xr3:uid="{1FD21E6D-F5B5-4656-A201-02FD4AB2FD0F}" name="stand spread"/>
    <tableColumn id="20" xr3:uid="{712E40ED-1A5C-4770-A138-6CBC74013E2D}" name="air spread"/>
    <tableColumn id="21" xr3:uid="{BDE46E76-E53D-41C8-9C90-2C26AAABAFE4}" name="movement spread"/>
    <tableColumn id="22" xr3:uid="{1A8C36AE-5C36-4F48-81DE-0AEAFDCB4F9B}" name="pellet pitch"/>
    <tableColumn id="23" xr3:uid="{290F4C1E-2CA3-415C-8302-97FB06C033F1}" name="pellet yaw"/>
    <tableColumn id="24" xr3:uid="{91BA92DC-7F70-4E38-BC4C-6706894D2E8C}" name="DPS" dataDxfId="1">
      <calculatedColumnFormula>Table1[[#This Row],[damage]]/(Table1[[#This Row],[cycle time]]+Table1[[#This Row],[Reload Time]]/Table1[[#This Row],[clip size]])</calculatedColumnFormula>
    </tableColumn>
    <tableColumn id="25" xr3:uid="{AA3BB973-9A3E-4D3F-A3F9-F8A8D10B5BCA}" name="common dps" dataDxfId="0">
      <calculatedColumnFormula>50/_xlfn.CEILING.MATH(50/(_xlfn.FLOOR.MATH(Table1[[#This Row],[damage]]*Table1[[#This Row],[range mod]]^0.1*AC$3)))/(Table1[[#This Row],[cycle time]]+Table1[[#This Row],[Reload Time]]/Table1[[#This Row],[clip size]])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66C16-73F1-4DF7-BC30-B79F16323F26}">
  <sheetPr codeName="Sheet1"/>
  <dimension ref="B1:AC21"/>
  <sheetViews>
    <sheetView tabSelected="1" zoomScale="107" zoomScaleNormal="100" workbookViewId="0">
      <selection activeCell="AC4" sqref="AC4"/>
    </sheetView>
  </sheetViews>
  <sheetFormatPr defaultRowHeight="14.25" x14ac:dyDescent="0.45"/>
  <cols>
    <col min="2" max="2" width="9.19921875" bestFit="1" customWidth="1"/>
    <col min="3" max="4" width="9.06640625" customWidth="1"/>
    <col min="5" max="5" width="11.265625" customWidth="1"/>
    <col min="6" max="6" width="7.3984375" customWidth="1"/>
    <col min="7" max="7" width="11" customWidth="1"/>
    <col min="8" max="8" width="17.46484375" customWidth="1"/>
    <col min="9" max="9" width="17.59765625" customWidth="1"/>
    <col min="10" max="10" width="23.19921875" customWidth="1"/>
    <col min="11" max="11" width="21.33203125" customWidth="1"/>
    <col min="12" max="12" width="11.1328125" customWidth="1"/>
    <col min="13" max="13" width="9.33203125" customWidth="1"/>
    <col min="14" max="15" width="14" customWidth="1"/>
    <col min="16" max="16" width="7.53125" bestFit="1" customWidth="1"/>
    <col min="17" max="17" width="15.265625" bestFit="1" customWidth="1"/>
    <col min="18" max="18" width="12.06640625" bestFit="1" customWidth="1"/>
    <col min="19" max="19" width="13.46484375" bestFit="1" customWidth="1"/>
    <col min="20" max="20" width="12.59765625" bestFit="1" customWidth="1"/>
    <col min="21" max="21" width="13.1328125" bestFit="1" customWidth="1"/>
    <col min="22" max="22" width="10.796875" bestFit="1" customWidth="1"/>
    <col min="23" max="23" width="17.33203125" bestFit="1" customWidth="1"/>
    <col min="24" max="24" width="11.9296875" bestFit="1" customWidth="1"/>
    <col min="25" max="25" width="11.06640625" bestFit="1" customWidth="1"/>
    <col min="26" max="26" width="9.06640625" customWidth="1"/>
    <col min="27" max="27" width="13.1328125" bestFit="1" customWidth="1"/>
  </cols>
  <sheetData>
    <row r="1" spans="2:29" x14ac:dyDescent="0.45">
      <c r="B1" t="s">
        <v>43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26</v>
      </c>
      <c r="L1" t="s">
        <v>9</v>
      </c>
      <c r="M1" t="s">
        <v>10</v>
      </c>
      <c r="N1" t="s">
        <v>11</v>
      </c>
      <c r="O1" t="s">
        <v>47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22</v>
      </c>
      <c r="Y1" t="s">
        <v>23</v>
      </c>
      <c r="Z1" t="s">
        <v>44</v>
      </c>
      <c r="AA1" t="s">
        <v>45</v>
      </c>
    </row>
    <row r="2" spans="2:29" x14ac:dyDescent="0.45">
      <c r="B2" t="s">
        <v>38</v>
      </c>
      <c r="C2">
        <v>50</v>
      </c>
      <c r="D2">
        <v>1</v>
      </c>
      <c r="E2">
        <v>0.97</v>
      </c>
      <c r="F2">
        <v>3000</v>
      </c>
      <c r="G2">
        <v>1500</v>
      </c>
      <c r="H2">
        <v>2</v>
      </c>
      <c r="I2">
        <v>50</v>
      </c>
      <c r="J2">
        <v>0</v>
      </c>
      <c r="K2">
        <v>0</v>
      </c>
      <c r="L2">
        <v>0.11</v>
      </c>
      <c r="M2">
        <v>150</v>
      </c>
      <c r="N2">
        <v>0</v>
      </c>
      <c r="O2">
        <v>0</v>
      </c>
      <c r="P2">
        <v>2</v>
      </c>
      <c r="Q2">
        <v>1.6</v>
      </c>
      <c r="R2">
        <v>35</v>
      </c>
      <c r="S2">
        <v>7</v>
      </c>
      <c r="T2">
        <v>0.5</v>
      </c>
      <c r="U2">
        <v>1</v>
      </c>
      <c r="V2">
        <v>3</v>
      </c>
      <c r="W2">
        <v>6</v>
      </c>
      <c r="X2">
        <v>0</v>
      </c>
      <c r="Y2">
        <v>0</v>
      </c>
      <c r="Z2">
        <f>Table1[[#This Row],[damage]]/(Table1[[#This Row],[cycle time]]+Table1[[#This Row],[Reload Time]]/Table1[[#This Row],[clip size]])</f>
        <v>454.54545454545456</v>
      </c>
      <c r="AA2">
        <f>50/_xlfn.CEILING.MATH(50/(_xlfn.FLOOR.MATH(Table1[[#This Row],[damage]]*Table1[[#This Row],[range mod]]^0.1*AC$3)))/(Table1[[#This Row],[cycle time]]+Table1[[#This Row],[Reload Time]]/Table1[[#This Row],[clip size]])</f>
        <v>90.909090909090907</v>
      </c>
      <c r="AC2" t="s">
        <v>46</v>
      </c>
    </row>
    <row r="3" spans="2:29" x14ac:dyDescent="0.45">
      <c r="B3" t="s">
        <v>31</v>
      </c>
      <c r="C3">
        <v>253</v>
      </c>
      <c r="D3">
        <v>11</v>
      </c>
      <c r="E3">
        <v>0.7</v>
      </c>
      <c r="F3">
        <v>3000</v>
      </c>
      <c r="H3">
        <v>2</v>
      </c>
      <c r="I3">
        <v>30</v>
      </c>
      <c r="J3">
        <v>500</v>
      </c>
      <c r="K3">
        <v>300</v>
      </c>
      <c r="L3">
        <v>0.15</v>
      </c>
      <c r="M3">
        <v>10</v>
      </c>
      <c r="N3">
        <v>90</v>
      </c>
      <c r="O3">
        <v>4</v>
      </c>
      <c r="P3">
        <v>3</v>
      </c>
      <c r="Q3">
        <v>20</v>
      </c>
      <c r="R3">
        <v>5</v>
      </c>
      <c r="S3">
        <v>5</v>
      </c>
      <c r="T3">
        <v>0</v>
      </c>
      <c r="U3">
        <v>0.8</v>
      </c>
      <c r="V3">
        <v>2.5</v>
      </c>
      <c r="W3">
        <v>1.5</v>
      </c>
      <c r="X3">
        <v>4</v>
      </c>
      <c r="Y3">
        <v>8.5</v>
      </c>
      <c r="Z3">
        <f>Table1[[#This Row],[damage]]/(Table1[[#This Row],[cycle time]]+Table1[[#This Row],[Reload Time]]/Table1[[#This Row],[clip size]])</f>
        <v>459.99999999999994</v>
      </c>
      <c r="AA3">
        <f>50/_xlfn.CEILING.MATH(50/(_xlfn.FLOOR.MATH(Table1[[#This Row],[damage]]*Table1[[#This Row],[range mod]]^0.1*AC$3)))/(Table1[[#This Row],[cycle time]]+Table1[[#This Row],[Reload Time]]/Table1[[#This Row],[clip size]])</f>
        <v>90.909090909090907</v>
      </c>
      <c r="AC3">
        <v>0.25</v>
      </c>
    </row>
    <row r="4" spans="2:29" x14ac:dyDescent="0.45">
      <c r="B4" t="s">
        <v>32</v>
      </c>
      <c r="C4">
        <v>252</v>
      </c>
      <c r="D4">
        <v>9</v>
      </c>
      <c r="E4">
        <v>0.7</v>
      </c>
      <c r="F4">
        <v>3000</v>
      </c>
      <c r="H4">
        <v>2</v>
      </c>
      <c r="I4">
        <v>30</v>
      </c>
      <c r="J4">
        <v>500</v>
      </c>
      <c r="K4">
        <v>300</v>
      </c>
      <c r="L4">
        <v>0.15</v>
      </c>
      <c r="M4">
        <v>10</v>
      </c>
      <c r="N4">
        <v>90</v>
      </c>
      <c r="O4">
        <v>4</v>
      </c>
      <c r="P4">
        <v>3</v>
      </c>
      <c r="Q4">
        <v>22</v>
      </c>
      <c r="R4">
        <v>5</v>
      </c>
      <c r="S4">
        <v>6</v>
      </c>
      <c r="T4">
        <v>0</v>
      </c>
      <c r="U4">
        <v>0.75</v>
      </c>
      <c r="V4">
        <v>2.5</v>
      </c>
      <c r="W4">
        <v>1.5</v>
      </c>
      <c r="X4">
        <v>3.5</v>
      </c>
      <c r="Y4">
        <v>8</v>
      </c>
      <c r="Z4">
        <f>Table1[[#This Row],[damage]]/(Table1[[#This Row],[cycle time]]+Table1[[#This Row],[Reload Time]]/Table1[[#This Row],[clip size]])</f>
        <v>458.18181818181813</v>
      </c>
      <c r="AA4">
        <f>50/_xlfn.CEILING.MATH(50/(_xlfn.FLOOR.MATH(Table1[[#This Row],[damage]]*Table1[[#This Row],[range mod]]^0.1*AC$3)))/(Table1[[#This Row],[cycle time]]+Table1[[#This Row],[Reload Time]]/Table1[[#This Row],[clip size]])</f>
        <v>90.909090909090907</v>
      </c>
    </row>
    <row r="5" spans="2:29" x14ac:dyDescent="0.45">
      <c r="B5" t="s">
        <v>28</v>
      </c>
      <c r="C5">
        <v>44</v>
      </c>
      <c r="D5">
        <v>1</v>
      </c>
      <c r="E5">
        <v>0.97</v>
      </c>
      <c r="F5">
        <v>3000</v>
      </c>
      <c r="G5">
        <v>1500</v>
      </c>
      <c r="H5">
        <v>2</v>
      </c>
      <c r="I5">
        <v>50</v>
      </c>
      <c r="J5">
        <v>0</v>
      </c>
      <c r="K5">
        <v>0</v>
      </c>
      <c r="L5">
        <v>7.0000000000000007E-2</v>
      </c>
      <c r="M5">
        <v>60</v>
      </c>
      <c r="N5">
        <v>360</v>
      </c>
      <c r="O5">
        <v>3.3</v>
      </c>
      <c r="P5">
        <v>1</v>
      </c>
      <c r="Q5">
        <v>0.6</v>
      </c>
      <c r="R5">
        <v>5</v>
      </c>
      <c r="S5">
        <v>4</v>
      </c>
      <c r="T5">
        <v>0.05</v>
      </c>
      <c r="U5">
        <v>0.35</v>
      </c>
      <c r="V5">
        <v>1.25</v>
      </c>
      <c r="W5">
        <v>4</v>
      </c>
      <c r="X5">
        <v>0</v>
      </c>
      <c r="Y5">
        <v>0</v>
      </c>
      <c r="Z5">
        <f>Table1[[#This Row],[damage]]/(Table1[[#This Row],[cycle time]]+Table1[[#This Row],[Reload Time]]/Table1[[#This Row],[clip size]])</f>
        <v>352</v>
      </c>
      <c r="AA5">
        <f>50/_xlfn.CEILING.MATH(50/(_xlfn.FLOOR.MATH(Table1[[#This Row],[damage]]*Table1[[#This Row],[range mod]]^0.1*AC$3)))/(Table1[[#This Row],[cycle time]]+Table1[[#This Row],[Reload Time]]/Table1[[#This Row],[clip size]])</f>
        <v>80</v>
      </c>
    </row>
    <row r="6" spans="2:29" x14ac:dyDescent="0.45">
      <c r="B6" t="s">
        <v>29</v>
      </c>
      <c r="C6">
        <v>58</v>
      </c>
      <c r="D6">
        <v>1</v>
      </c>
      <c r="E6">
        <v>0.97</v>
      </c>
      <c r="F6">
        <v>3000</v>
      </c>
      <c r="G6">
        <v>1500</v>
      </c>
      <c r="H6">
        <v>2</v>
      </c>
      <c r="I6">
        <v>50</v>
      </c>
      <c r="J6">
        <v>0</v>
      </c>
      <c r="K6">
        <v>0</v>
      </c>
      <c r="L6">
        <v>0.13</v>
      </c>
      <c r="M6">
        <v>40</v>
      </c>
      <c r="N6">
        <v>360</v>
      </c>
      <c r="O6">
        <v>2.4</v>
      </c>
      <c r="P6">
        <v>2</v>
      </c>
      <c r="Q6">
        <v>1.6</v>
      </c>
      <c r="R6">
        <v>35</v>
      </c>
      <c r="S6">
        <v>7</v>
      </c>
      <c r="T6">
        <v>0.5</v>
      </c>
      <c r="U6">
        <v>1</v>
      </c>
      <c r="V6">
        <v>3</v>
      </c>
      <c r="W6">
        <v>6</v>
      </c>
      <c r="X6">
        <v>0</v>
      </c>
      <c r="Y6">
        <v>0</v>
      </c>
      <c r="Z6">
        <f>Table1[[#This Row],[damage]]/(Table1[[#This Row],[cycle time]]+Table1[[#This Row],[Reload Time]]/Table1[[#This Row],[clip size]])</f>
        <v>305.26315789473682</v>
      </c>
      <c r="AA6">
        <f>50/_xlfn.CEILING.MATH(50/(_xlfn.FLOOR.MATH(Table1[[#This Row],[damage]]*Table1[[#This Row],[range mod]]^0.1*AC$3)))/(Table1[[#This Row],[cycle time]]+Table1[[#This Row],[Reload Time]]/Table1[[#This Row],[clip size]])</f>
        <v>65.78947368421052</v>
      </c>
    </row>
    <row r="7" spans="2:29" x14ac:dyDescent="0.45">
      <c r="B7" t="s">
        <v>27</v>
      </c>
      <c r="C7">
        <v>33</v>
      </c>
      <c r="D7">
        <v>1</v>
      </c>
      <c r="E7">
        <v>0.97</v>
      </c>
      <c r="F7">
        <v>3000</v>
      </c>
      <c r="G7">
        <v>1500</v>
      </c>
      <c r="H7">
        <v>2</v>
      </c>
      <c r="I7">
        <v>50</v>
      </c>
      <c r="J7">
        <v>0</v>
      </c>
      <c r="K7">
        <v>0</v>
      </c>
      <c r="L7">
        <v>8.7499999999999994E-2</v>
      </c>
      <c r="M7">
        <v>50</v>
      </c>
      <c r="N7">
        <v>360</v>
      </c>
      <c r="O7">
        <v>2.2000000000000002</v>
      </c>
      <c r="P7">
        <v>1.2</v>
      </c>
      <c r="Q7">
        <v>0.75</v>
      </c>
      <c r="R7">
        <v>30</v>
      </c>
      <c r="S7">
        <v>5</v>
      </c>
      <c r="T7">
        <v>0.05</v>
      </c>
      <c r="U7">
        <v>0.4</v>
      </c>
      <c r="V7">
        <v>1.5</v>
      </c>
      <c r="W7">
        <v>5</v>
      </c>
      <c r="X7">
        <v>0</v>
      </c>
      <c r="Y7">
        <v>0</v>
      </c>
      <c r="Z7">
        <f>Table1[[#This Row],[damage]]/(Table1[[#This Row],[cycle time]]+Table1[[#This Row],[Reload Time]]/Table1[[#This Row],[clip size]])</f>
        <v>250.95057034220531</v>
      </c>
      <c r="AA7">
        <f>50/_xlfn.CEILING.MATH(50/(_xlfn.FLOOR.MATH(Table1[[#This Row],[damage]]*Table1[[#This Row],[range mod]]^0.1*AC$3)))/(Table1[[#This Row],[cycle time]]+Table1[[#This Row],[Reload Time]]/Table1[[#This Row],[clip size]])</f>
        <v>54.318305268875612</v>
      </c>
    </row>
    <row r="8" spans="2:29" x14ac:dyDescent="0.45">
      <c r="B8" t="s">
        <v>20</v>
      </c>
      <c r="C8">
        <v>25</v>
      </c>
      <c r="D8">
        <v>1</v>
      </c>
      <c r="E8">
        <v>0.84</v>
      </c>
      <c r="F8">
        <v>2200</v>
      </c>
      <c r="G8">
        <v>900</v>
      </c>
      <c r="H8">
        <v>2</v>
      </c>
      <c r="I8">
        <v>30</v>
      </c>
      <c r="J8">
        <v>0</v>
      </c>
      <c r="K8">
        <v>0</v>
      </c>
      <c r="L8">
        <v>6.25E-2</v>
      </c>
      <c r="M8">
        <v>50</v>
      </c>
      <c r="N8">
        <v>650</v>
      </c>
      <c r="O8">
        <v>2.2667000000000002</v>
      </c>
      <c r="P8">
        <v>1</v>
      </c>
      <c r="Q8">
        <v>0.4</v>
      </c>
      <c r="R8">
        <v>30</v>
      </c>
      <c r="S8">
        <v>5</v>
      </c>
      <c r="T8">
        <v>0.85</v>
      </c>
      <c r="U8">
        <v>1.2</v>
      </c>
      <c r="V8">
        <v>1.7</v>
      </c>
      <c r="W8">
        <v>3</v>
      </c>
      <c r="X8">
        <v>0</v>
      </c>
      <c r="Y8">
        <v>0</v>
      </c>
      <c r="Z8">
        <f>Table1[[#This Row],[damage]]/(Table1[[#This Row],[cycle time]]+Table1[[#This Row],[Reload Time]]/Table1[[#This Row],[clip size]])</f>
        <v>231.83782480479252</v>
      </c>
      <c r="AA8">
        <f>50/_xlfn.CEILING.MATH(50/(_xlfn.FLOOR.MATH(Table1[[#This Row],[damage]]*Table1[[#This Row],[range mod]]^0.1*AC$3)))/(Table1[[#This Row],[cycle time]]+Table1[[#This Row],[Reload Time]]/Table1[[#This Row],[clip size]])</f>
        <v>51.519516623287224</v>
      </c>
    </row>
    <row r="9" spans="2:29" x14ac:dyDescent="0.45">
      <c r="B9" t="s">
        <v>25</v>
      </c>
      <c r="C9">
        <v>250</v>
      </c>
      <c r="D9">
        <v>10</v>
      </c>
      <c r="E9">
        <v>0.7</v>
      </c>
      <c r="F9">
        <v>3000</v>
      </c>
      <c r="H9">
        <v>2</v>
      </c>
      <c r="I9">
        <v>30</v>
      </c>
      <c r="J9">
        <v>500</v>
      </c>
      <c r="K9">
        <v>300</v>
      </c>
      <c r="L9">
        <v>0.5</v>
      </c>
      <c r="M9">
        <v>8</v>
      </c>
      <c r="N9">
        <v>72</v>
      </c>
      <c r="O9">
        <v>4.2</v>
      </c>
      <c r="P9">
        <v>4</v>
      </c>
      <c r="Q9">
        <v>1</v>
      </c>
      <c r="R9">
        <v>5</v>
      </c>
      <c r="S9">
        <v>5</v>
      </c>
      <c r="T9">
        <v>0</v>
      </c>
      <c r="U9">
        <v>0.8</v>
      </c>
      <c r="V9">
        <v>2.5</v>
      </c>
      <c r="W9">
        <v>1.5</v>
      </c>
      <c r="X9">
        <v>5</v>
      </c>
      <c r="Y9">
        <v>7.5</v>
      </c>
      <c r="Z9">
        <f>Table1[[#This Row],[damage]]/(Table1[[#This Row],[cycle time]]+Table1[[#This Row],[Reload Time]]/Table1[[#This Row],[clip size]])</f>
        <v>243.90243902439028</v>
      </c>
      <c r="AA9">
        <f>50/_xlfn.CEILING.MATH(50/(_xlfn.FLOOR.MATH(Table1[[#This Row],[damage]]*Table1[[#This Row],[range mod]]^0.1*AC$3)))/(Table1[[#This Row],[cycle time]]+Table1[[#This Row],[Reload Time]]/Table1[[#This Row],[clip size]])</f>
        <v>48.780487804878049</v>
      </c>
    </row>
    <row r="10" spans="2:29" x14ac:dyDescent="0.45">
      <c r="B10" t="s">
        <v>24</v>
      </c>
      <c r="C10">
        <v>248</v>
      </c>
      <c r="D10">
        <v>8</v>
      </c>
      <c r="E10">
        <v>0.7</v>
      </c>
      <c r="F10">
        <v>3000</v>
      </c>
      <c r="H10">
        <v>2</v>
      </c>
      <c r="I10">
        <v>30</v>
      </c>
      <c r="J10">
        <v>500</v>
      </c>
      <c r="K10">
        <v>300</v>
      </c>
      <c r="L10">
        <v>0.5</v>
      </c>
      <c r="M10">
        <v>8</v>
      </c>
      <c r="N10">
        <v>72</v>
      </c>
      <c r="O10">
        <v>4.2</v>
      </c>
      <c r="P10">
        <v>4</v>
      </c>
      <c r="Q10">
        <v>1</v>
      </c>
      <c r="R10">
        <v>5</v>
      </c>
      <c r="S10">
        <v>5</v>
      </c>
      <c r="T10">
        <v>0</v>
      </c>
      <c r="U10">
        <v>0.8</v>
      </c>
      <c r="V10">
        <v>2.5</v>
      </c>
      <c r="W10">
        <v>1.5</v>
      </c>
      <c r="X10">
        <v>3</v>
      </c>
      <c r="Y10">
        <v>5</v>
      </c>
      <c r="Z10">
        <f>Table1[[#This Row],[damage]]/(Table1[[#This Row],[cycle time]]+Table1[[#This Row],[Reload Time]]/Table1[[#This Row],[clip size]])</f>
        <v>241.95121951219514</v>
      </c>
      <c r="AA10">
        <f>50/_xlfn.CEILING.MATH(50/(_xlfn.FLOOR.MATH(Table1[[#This Row],[damage]]*Table1[[#This Row],[range mod]]^0.1*AC$3)))/(Table1[[#This Row],[cycle time]]+Table1[[#This Row],[Reload Time]]/Table1[[#This Row],[clip size]])</f>
        <v>48.780487804878049</v>
      </c>
    </row>
    <row r="11" spans="2:29" x14ac:dyDescent="0.45">
      <c r="B11" t="s">
        <v>30</v>
      </c>
      <c r="C11">
        <v>33</v>
      </c>
      <c r="D11">
        <v>1</v>
      </c>
      <c r="E11">
        <v>0.97</v>
      </c>
      <c r="F11">
        <v>3000</v>
      </c>
      <c r="G11">
        <v>1500</v>
      </c>
      <c r="H11">
        <v>2</v>
      </c>
      <c r="I11">
        <v>50</v>
      </c>
      <c r="J11">
        <v>0</v>
      </c>
      <c r="K11">
        <v>0</v>
      </c>
      <c r="L11">
        <v>8.2500000000000004E-2</v>
      </c>
      <c r="M11">
        <v>50</v>
      </c>
      <c r="N11">
        <v>360</v>
      </c>
      <c r="O11">
        <v>3.4</v>
      </c>
      <c r="P11">
        <v>1.2</v>
      </c>
      <c r="Q11">
        <v>0.75</v>
      </c>
      <c r="R11">
        <v>30</v>
      </c>
      <c r="S11">
        <v>5</v>
      </c>
      <c r="T11">
        <v>0.05</v>
      </c>
      <c r="U11">
        <v>0.4</v>
      </c>
      <c r="V11">
        <v>1.5</v>
      </c>
      <c r="W11">
        <v>5</v>
      </c>
      <c r="X11">
        <v>0</v>
      </c>
      <c r="Y11">
        <v>0</v>
      </c>
      <c r="Z11">
        <f>Table1[[#This Row],[damage]]/(Table1[[#This Row],[cycle time]]+Table1[[#This Row],[Reload Time]]/Table1[[#This Row],[clip size]])</f>
        <v>219.26910299003319</v>
      </c>
      <c r="AA11">
        <f>50/_xlfn.CEILING.MATH(50/(_xlfn.FLOOR.MATH(Table1[[#This Row],[damage]]*Table1[[#This Row],[range mod]]^0.1*AC$3)))/(Table1[[#This Row],[cycle time]]+Table1[[#This Row],[Reload Time]]/Table1[[#This Row],[clip size]])</f>
        <v>47.460844803037489</v>
      </c>
    </row>
    <row r="12" spans="2:29" x14ac:dyDescent="0.45">
      <c r="B12" t="s">
        <v>34</v>
      </c>
      <c r="C12">
        <v>90</v>
      </c>
      <c r="D12">
        <v>1</v>
      </c>
      <c r="E12">
        <v>1</v>
      </c>
      <c r="F12">
        <v>8192</v>
      </c>
      <c r="H12">
        <v>2</v>
      </c>
      <c r="I12">
        <v>50</v>
      </c>
      <c r="J12">
        <v>0</v>
      </c>
      <c r="K12">
        <v>8192</v>
      </c>
      <c r="L12">
        <v>0.25</v>
      </c>
      <c r="M12">
        <v>30</v>
      </c>
      <c r="N12">
        <v>150</v>
      </c>
      <c r="O12">
        <v>3.3</v>
      </c>
      <c r="P12">
        <v>1.5</v>
      </c>
      <c r="Q12">
        <v>1</v>
      </c>
      <c r="R12">
        <v>15</v>
      </c>
      <c r="S12">
        <v>8</v>
      </c>
      <c r="T12">
        <v>0.05</v>
      </c>
      <c r="U12">
        <v>0.5</v>
      </c>
      <c r="V12">
        <v>1.5</v>
      </c>
      <c r="W12">
        <v>5</v>
      </c>
      <c r="X12">
        <v>0</v>
      </c>
      <c r="Y12">
        <v>0</v>
      </c>
      <c r="Z12">
        <f>Table1[[#This Row],[damage]]/(Table1[[#This Row],[cycle time]]+Table1[[#This Row],[Reload Time]]/Table1[[#This Row],[clip size]])</f>
        <v>250</v>
      </c>
      <c r="AA12">
        <f>50/_xlfn.CEILING.MATH(50/(_xlfn.FLOOR.MATH(Table1[[#This Row],[damage]]*Table1[[#This Row],[range mod]]^0.1*AC$3)))/(Table1[[#This Row],[cycle time]]+Table1[[#This Row],[Reload Time]]/Table1[[#This Row],[clip size]])</f>
        <v>46.296296296296305</v>
      </c>
    </row>
    <row r="13" spans="2:29" x14ac:dyDescent="0.45">
      <c r="B13" t="s">
        <v>21</v>
      </c>
      <c r="C13">
        <v>26</v>
      </c>
      <c r="D13">
        <v>1</v>
      </c>
      <c r="E13">
        <v>0.84</v>
      </c>
      <c r="F13">
        <v>2500</v>
      </c>
      <c r="H13">
        <v>2</v>
      </c>
      <c r="I13">
        <v>30</v>
      </c>
      <c r="J13">
        <v>0</v>
      </c>
      <c r="K13">
        <v>0</v>
      </c>
      <c r="L13">
        <f>60/800</f>
        <v>7.4999999999999997E-2</v>
      </c>
      <c r="M13">
        <v>50</v>
      </c>
      <c r="N13">
        <v>650</v>
      </c>
      <c r="O13">
        <v>3.0667</v>
      </c>
      <c r="P13">
        <v>1</v>
      </c>
      <c r="Q13">
        <v>0.32</v>
      </c>
      <c r="R13">
        <v>30</v>
      </c>
      <c r="S13">
        <v>5</v>
      </c>
      <c r="T13">
        <v>0.75</v>
      </c>
      <c r="U13">
        <v>1.1000000000000001</v>
      </c>
      <c r="V13">
        <v>1.7</v>
      </c>
      <c r="W13">
        <v>3</v>
      </c>
      <c r="X13">
        <v>0</v>
      </c>
      <c r="Y13">
        <v>0</v>
      </c>
      <c r="Z13">
        <f>Table1[[#This Row],[damage]]/(Table1[[#This Row],[cycle time]]+Table1[[#This Row],[Reload Time]]/Table1[[#This Row],[clip size]])</f>
        <v>190.70811389675356</v>
      </c>
      <c r="AA13">
        <f>50/_xlfn.CEILING.MATH(50/(_xlfn.FLOOR.MATH(Table1[[#This Row],[damage]]*Table1[[#This Row],[range mod]]^0.1*AC$3)))/(Table1[[#This Row],[cycle time]]+Table1[[#This Row],[Reload Time]]/Table1[[#This Row],[clip size]])</f>
        <v>40.749596986485798</v>
      </c>
    </row>
    <row r="14" spans="2:29" x14ac:dyDescent="0.45">
      <c r="B14" t="s">
        <v>33</v>
      </c>
      <c r="C14">
        <v>90</v>
      </c>
      <c r="D14">
        <v>1</v>
      </c>
      <c r="E14">
        <v>1</v>
      </c>
      <c r="F14">
        <v>8192</v>
      </c>
      <c r="H14">
        <v>2</v>
      </c>
      <c r="I14">
        <v>50</v>
      </c>
      <c r="J14">
        <v>0</v>
      </c>
      <c r="K14">
        <v>8192</v>
      </c>
      <c r="L14">
        <v>0.25</v>
      </c>
      <c r="M14">
        <v>15</v>
      </c>
      <c r="N14">
        <v>150</v>
      </c>
      <c r="O14">
        <v>3.13</v>
      </c>
      <c r="P14">
        <v>1.5</v>
      </c>
      <c r="Q14">
        <v>1</v>
      </c>
      <c r="R14">
        <v>15</v>
      </c>
      <c r="S14">
        <v>8</v>
      </c>
      <c r="T14">
        <v>0</v>
      </c>
      <c r="U14">
        <v>0.1</v>
      </c>
      <c r="V14">
        <v>1.5</v>
      </c>
      <c r="W14">
        <v>3</v>
      </c>
      <c r="X14">
        <v>0</v>
      </c>
      <c r="Y14">
        <v>0</v>
      </c>
      <c r="Z14">
        <f>Table1[[#This Row],[damage]]/(Table1[[#This Row],[cycle time]]+Table1[[#This Row],[Reload Time]]/Table1[[#This Row],[clip size]])</f>
        <v>196.22093023255815</v>
      </c>
      <c r="AA14">
        <f>50/_xlfn.CEILING.MATH(50/(_xlfn.FLOOR.MATH(Table1[[#This Row],[damage]]*Table1[[#This Row],[range mod]]^0.1*AC$3)))/(Table1[[#This Row],[cycle time]]+Table1[[#This Row],[Reload Time]]/Table1[[#This Row],[clip size]])</f>
        <v>36.337209302325583</v>
      </c>
    </row>
    <row r="15" spans="2:29" x14ac:dyDescent="0.45">
      <c r="B15" t="s">
        <v>0</v>
      </c>
      <c r="C15">
        <v>20</v>
      </c>
      <c r="D15">
        <v>1</v>
      </c>
      <c r="E15">
        <v>0.84</v>
      </c>
      <c r="F15">
        <v>2500</v>
      </c>
      <c r="H15">
        <v>2</v>
      </c>
      <c r="I15">
        <v>30</v>
      </c>
      <c r="J15">
        <v>0</v>
      </c>
      <c r="K15">
        <v>0</v>
      </c>
      <c r="L15">
        <v>6.25E-2</v>
      </c>
      <c r="M15">
        <v>50</v>
      </c>
      <c r="N15">
        <v>650</v>
      </c>
      <c r="O15">
        <v>2.2667000000000002</v>
      </c>
      <c r="P15">
        <v>0.9</v>
      </c>
      <c r="Q15">
        <v>0.32</v>
      </c>
      <c r="R15">
        <v>30</v>
      </c>
      <c r="S15">
        <v>5</v>
      </c>
      <c r="T15">
        <v>0.7</v>
      </c>
      <c r="U15">
        <v>1</v>
      </c>
      <c r="V15">
        <v>1.7</v>
      </c>
      <c r="W15">
        <v>3</v>
      </c>
      <c r="X15">
        <v>0</v>
      </c>
      <c r="Y15">
        <v>0</v>
      </c>
      <c r="Z15">
        <f>Table1[[#This Row],[damage]]/(Table1[[#This Row],[cycle time]]+Table1[[#This Row],[Reload Time]]/Table1[[#This Row],[clip size]])</f>
        <v>185.47025984383401</v>
      </c>
      <c r="AA15">
        <f>50/_xlfn.CEILING.MATH(50/(_xlfn.FLOOR.MATH(Table1[[#This Row],[damage]]*Table1[[#This Row],[range mod]]^0.1*AC$3)))/(Table1[[#This Row],[cycle time]]+Table1[[#This Row],[Reload Time]]/Table1[[#This Row],[clip size]])</f>
        <v>35.667357662275776</v>
      </c>
    </row>
    <row r="16" spans="2:29" x14ac:dyDescent="0.45">
      <c r="B16" t="s">
        <v>42</v>
      </c>
      <c r="C16">
        <v>80</v>
      </c>
      <c r="D16">
        <v>1</v>
      </c>
      <c r="E16">
        <v>0.75</v>
      </c>
      <c r="F16">
        <v>3500</v>
      </c>
      <c r="H16">
        <v>2</v>
      </c>
      <c r="I16">
        <v>50</v>
      </c>
      <c r="J16">
        <v>0</v>
      </c>
      <c r="K16">
        <v>0</v>
      </c>
      <c r="L16">
        <v>0.3</v>
      </c>
      <c r="M16">
        <v>8</v>
      </c>
      <c r="N16" t="s">
        <v>40</v>
      </c>
      <c r="O16">
        <v>2</v>
      </c>
      <c r="P16">
        <v>4</v>
      </c>
      <c r="Q16">
        <v>2</v>
      </c>
      <c r="R16">
        <v>30</v>
      </c>
      <c r="S16">
        <v>5</v>
      </c>
      <c r="T16">
        <v>0.5</v>
      </c>
      <c r="U16">
        <v>1.25</v>
      </c>
      <c r="V16">
        <v>3</v>
      </c>
      <c r="W16">
        <v>3</v>
      </c>
      <c r="X16">
        <v>0</v>
      </c>
      <c r="Y16">
        <v>0</v>
      </c>
      <c r="Z16">
        <f>Table1[[#This Row],[damage]]/(Table1[[#This Row],[cycle time]]+Table1[[#This Row],[Reload Time]]/Table1[[#This Row],[clip size]])</f>
        <v>145.45454545454544</v>
      </c>
      <c r="AA16">
        <f>50/_xlfn.CEILING.MATH(50/(_xlfn.FLOOR.MATH(Table1[[#This Row],[damage]]*Table1[[#This Row],[range mod]]^0.1*AC$3)))/(Table1[[#This Row],[cycle time]]+Table1[[#This Row],[Reload Time]]/Table1[[#This Row],[clip size]])</f>
        <v>30.303030303030301</v>
      </c>
    </row>
    <row r="17" spans="2:27" x14ac:dyDescent="0.45">
      <c r="B17" t="s">
        <v>41</v>
      </c>
      <c r="C17">
        <v>36</v>
      </c>
      <c r="D17">
        <v>1</v>
      </c>
      <c r="E17">
        <v>0.75</v>
      </c>
      <c r="F17">
        <v>2500</v>
      </c>
      <c r="H17">
        <v>2</v>
      </c>
      <c r="I17">
        <v>30</v>
      </c>
      <c r="J17">
        <v>0</v>
      </c>
      <c r="K17">
        <v>0</v>
      </c>
      <c r="L17">
        <v>0.17499999999999999</v>
      </c>
      <c r="M17">
        <v>30</v>
      </c>
      <c r="N17" t="s">
        <v>40</v>
      </c>
      <c r="O17">
        <v>2.5</v>
      </c>
      <c r="P17">
        <v>2</v>
      </c>
      <c r="Q17">
        <v>1</v>
      </c>
      <c r="R17">
        <v>30</v>
      </c>
      <c r="S17">
        <v>5</v>
      </c>
      <c r="T17">
        <v>0.5</v>
      </c>
      <c r="U17">
        <v>1.5</v>
      </c>
      <c r="V17">
        <v>3</v>
      </c>
      <c r="W17">
        <v>3</v>
      </c>
      <c r="X17">
        <v>0</v>
      </c>
      <c r="Y17">
        <v>0</v>
      </c>
      <c r="Z17">
        <f>Table1[[#This Row],[damage]]/(Table1[[#This Row],[cycle time]]+Table1[[#This Row],[Reload Time]]/Table1[[#This Row],[clip size]])</f>
        <v>139.35483870967744</v>
      </c>
      <c r="AA17">
        <f>50/_xlfn.CEILING.MATH(50/(_xlfn.FLOOR.MATH(Table1[[#This Row],[damage]]*Table1[[#This Row],[range mod]]^0.1*AC$3)))/(Table1[[#This Row],[cycle time]]+Table1[[#This Row],[Reload Time]]/Table1[[#This Row],[clip size]])</f>
        <v>27.649769585253463</v>
      </c>
    </row>
    <row r="18" spans="2:27" x14ac:dyDescent="0.45">
      <c r="B18" t="s">
        <v>35</v>
      </c>
      <c r="C18">
        <v>105</v>
      </c>
      <c r="D18">
        <v>1</v>
      </c>
      <c r="E18">
        <v>1</v>
      </c>
      <c r="F18">
        <v>8192</v>
      </c>
      <c r="H18">
        <v>2</v>
      </c>
      <c r="I18">
        <v>50</v>
      </c>
      <c r="J18">
        <v>0</v>
      </c>
      <c r="K18">
        <v>8192</v>
      </c>
      <c r="L18">
        <v>0.9</v>
      </c>
      <c r="M18">
        <v>15</v>
      </c>
      <c r="N18">
        <v>180</v>
      </c>
      <c r="O18">
        <v>2.9</v>
      </c>
      <c r="P18">
        <v>1.5</v>
      </c>
      <c r="Q18">
        <v>1</v>
      </c>
      <c r="R18">
        <v>15</v>
      </c>
      <c r="S18">
        <v>8</v>
      </c>
      <c r="T18">
        <v>0</v>
      </c>
      <c r="U18">
        <v>0.1</v>
      </c>
      <c r="V18">
        <v>1.5</v>
      </c>
      <c r="W18">
        <v>3</v>
      </c>
      <c r="X18">
        <v>0</v>
      </c>
      <c r="Y18">
        <v>0</v>
      </c>
      <c r="Z18">
        <f>Table1[[#This Row],[damage]]/(Table1[[#This Row],[cycle time]]+Table1[[#This Row],[Reload Time]]/Table1[[#This Row],[clip size]])</f>
        <v>96.036585365853668</v>
      </c>
      <c r="AA18">
        <f>50/_xlfn.CEILING.MATH(50/(_xlfn.FLOOR.MATH(Table1[[#This Row],[damage]]*Table1[[#This Row],[range mod]]^0.1*AC$3)))/(Table1[[#This Row],[cycle time]]+Table1[[#This Row],[Reload Time]]/Table1[[#This Row],[clip size]])</f>
        <v>22.865853658536587</v>
      </c>
    </row>
    <row r="19" spans="2:27" x14ac:dyDescent="0.45">
      <c r="B19" t="s">
        <v>36</v>
      </c>
      <c r="C19">
        <v>115</v>
      </c>
      <c r="D19">
        <v>1</v>
      </c>
      <c r="E19">
        <v>1</v>
      </c>
      <c r="F19">
        <v>8192</v>
      </c>
      <c r="H19">
        <v>2</v>
      </c>
      <c r="I19">
        <v>50</v>
      </c>
      <c r="J19">
        <v>0</v>
      </c>
      <c r="K19">
        <v>8192</v>
      </c>
      <c r="L19">
        <v>1.05</v>
      </c>
      <c r="M19">
        <v>20</v>
      </c>
      <c r="N19">
        <v>180</v>
      </c>
      <c r="O19">
        <v>3.66</v>
      </c>
      <c r="P19">
        <v>1.5</v>
      </c>
      <c r="Q19">
        <v>1</v>
      </c>
      <c r="R19">
        <v>15</v>
      </c>
      <c r="S19">
        <v>8</v>
      </c>
      <c r="T19">
        <v>0</v>
      </c>
      <c r="U19">
        <v>0.1</v>
      </c>
      <c r="V19">
        <v>1.5</v>
      </c>
      <c r="W19">
        <v>4</v>
      </c>
      <c r="X19">
        <v>0</v>
      </c>
      <c r="Y19">
        <v>0</v>
      </c>
      <c r="Z19">
        <f>Table1[[#This Row],[damage]]/(Table1[[#This Row],[cycle time]]+Table1[[#This Row],[Reload Time]]/Table1[[#This Row],[clip size]])</f>
        <v>93.268450932684502</v>
      </c>
      <c r="AA19">
        <f>50/_xlfn.CEILING.MATH(50/(_xlfn.FLOOR.MATH(Table1[[#This Row],[damage]]*Table1[[#This Row],[range mod]]^0.1*AC$3)))/(Table1[[#This Row],[cycle time]]+Table1[[#This Row],[Reload Time]]/Table1[[#This Row],[clip size]])</f>
        <v>20.2757502027575</v>
      </c>
    </row>
    <row r="20" spans="2:27" x14ac:dyDescent="0.45">
      <c r="B20" t="s">
        <v>39</v>
      </c>
      <c r="C20">
        <v>36</v>
      </c>
      <c r="D20">
        <v>1</v>
      </c>
      <c r="E20">
        <v>0.75</v>
      </c>
      <c r="F20">
        <v>2500</v>
      </c>
      <c r="H20">
        <v>2</v>
      </c>
      <c r="I20">
        <v>30</v>
      </c>
      <c r="J20">
        <v>0</v>
      </c>
      <c r="K20">
        <v>0</v>
      </c>
      <c r="L20">
        <v>0.35</v>
      </c>
      <c r="M20">
        <v>15</v>
      </c>
      <c r="N20" t="s">
        <v>40</v>
      </c>
      <c r="O20">
        <v>2</v>
      </c>
      <c r="P20">
        <v>2</v>
      </c>
      <c r="Q20">
        <v>1</v>
      </c>
      <c r="R20">
        <v>30</v>
      </c>
      <c r="S20">
        <v>5</v>
      </c>
      <c r="T20">
        <v>0.5</v>
      </c>
      <c r="U20">
        <v>1.5</v>
      </c>
      <c r="V20">
        <v>3</v>
      </c>
      <c r="W20">
        <v>3</v>
      </c>
      <c r="X20">
        <v>0</v>
      </c>
      <c r="Y20">
        <v>0</v>
      </c>
      <c r="Z20">
        <f>Table1[[#This Row],[damage]]/(Table1[[#This Row],[cycle time]]+Table1[[#This Row],[Reload Time]]/Table1[[#This Row],[clip size]])</f>
        <v>74.482758620689665</v>
      </c>
      <c r="AA20">
        <f>50/_xlfn.CEILING.MATH(50/(_xlfn.FLOOR.MATH(Table1[[#This Row],[damage]]*Table1[[#This Row],[range mod]]^0.1*AC$3)))/(Table1[[#This Row],[cycle time]]+Table1[[#This Row],[Reload Time]]/Table1[[#This Row],[clip size]])</f>
        <v>14.778325123152712</v>
      </c>
    </row>
    <row r="21" spans="2:27" x14ac:dyDescent="0.45">
      <c r="B21" t="s">
        <v>37</v>
      </c>
      <c r="C21">
        <v>400</v>
      </c>
      <c r="D21">
        <v>1</v>
      </c>
      <c r="E21">
        <v>0.97</v>
      </c>
      <c r="F21">
        <v>3000</v>
      </c>
      <c r="G21">
        <v>1500</v>
      </c>
      <c r="H21">
        <v>2</v>
      </c>
      <c r="I21">
        <v>50</v>
      </c>
      <c r="J21">
        <v>0</v>
      </c>
      <c r="K21">
        <v>0</v>
      </c>
      <c r="L21">
        <v>0.5</v>
      </c>
      <c r="M21">
        <v>1</v>
      </c>
      <c r="N21">
        <v>30</v>
      </c>
      <c r="O21">
        <v>3.3</v>
      </c>
      <c r="P21">
        <v>1.2</v>
      </c>
      <c r="Q21">
        <v>0.75</v>
      </c>
      <c r="R21">
        <v>30</v>
      </c>
      <c r="S21">
        <v>5</v>
      </c>
      <c r="T21">
        <v>0.05</v>
      </c>
      <c r="U21">
        <v>0.4</v>
      </c>
      <c r="V21">
        <v>1.5</v>
      </c>
      <c r="W21">
        <v>5</v>
      </c>
      <c r="X21">
        <v>0</v>
      </c>
      <c r="Y21">
        <v>0</v>
      </c>
      <c r="Z21">
        <f>Table1[[#This Row],[damage]]/(Table1[[#This Row],[cycle time]]+Table1[[#This Row],[Reload Time]]/Table1[[#This Row],[clip size]])</f>
        <v>105.26315789473685</v>
      </c>
      <c r="AA21">
        <f>50/_xlfn.CEILING.MATH(50/(_xlfn.FLOOR.MATH(Table1[[#This Row],[damage]]*Table1[[#This Row],[range mod]]^0.1*AC$3)))/(Table1[[#This Row],[cycle time]]+Table1[[#This Row],[Reload Time]]/Table1[[#This Row],[clip size]])</f>
        <v>13.157894736842106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A7684B9B3A4847BEEA9E9E87D5CBE2" ma:contentTypeVersion="14" ma:contentTypeDescription="Create a new document." ma:contentTypeScope="" ma:versionID="3a5d6468154f3129fcace74134d774ea">
  <xsd:schema xmlns:xsd="http://www.w3.org/2001/XMLSchema" xmlns:xs="http://www.w3.org/2001/XMLSchema" xmlns:p="http://schemas.microsoft.com/office/2006/metadata/properties" xmlns:ns3="3bd2448e-bc80-4060-9b44-5204c1169a85" xmlns:ns4="08ceecc5-2daa-47f4-9f70-3b427bddc800" targetNamespace="http://schemas.microsoft.com/office/2006/metadata/properties" ma:root="true" ma:fieldsID="55f6975694cfb300750ebd38341a2f63" ns3:_="" ns4:_="">
    <xsd:import namespace="3bd2448e-bc80-4060-9b44-5204c1169a85"/>
    <xsd:import namespace="08ceecc5-2daa-47f4-9f70-3b427bddc80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SystemTag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d2448e-bc80-4060-9b44-5204c1169a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ystemTags" ma:index="15" nillable="true" ma:displayName="MediaServiceSystemTags" ma:hidden="true" ma:internalName="MediaServiceSystemTags" ma:readOnly="true">
      <xsd:simpleType>
        <xsd:restriction base="dms:Note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ceecc5-2daa-47f4-9f70-3b427bddc800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bd2448e-bc80-4060-9b44-5204c1169a85" xsi:nil="true"/>
  </documentManagement>
</p:properties>
</file>

<file path=customXml/itemProps1.xml><?xml version="1.0" encoding="utf-8"?>
<ds:datastoreItem xmlns:ds="http://schemas.openxmlformats.org/officeDocument/2006/customXml" ds:itemID="{ADE30EA9-35E6-4B2B-90FC-547AAF77CEB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81C3DB3-2A77-47BE-B150-2CF1E81C4D2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bd2448e-bc80-4060-9b44-5204c1169a85"/>
    <ds:schemaRef ds:uri="08ceecc5-2daa-47f4-9f70-3b427bddc8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A85A701-6AB1-4A94-B5F6-0EF3485315BC}">
  <ds:schemaRefs>
    <ds:schemaRef ds:uri="http://schemas.microsoft.com/office/infopath/2007/PartnerControls"/>
    <ds:schemaRef ds:uri="http://schemas.microsoft.com/office/2006/documentManagement/types"/>
    <ds:schemaRef ds:uri="http://www.w3.org/XML/1998/namespace"/>
    <ds:schemaRef ds:uri="http://purl.org/dc/elements/1.1/"/>
    <ds:schemaRef ds:uri="3bd2448e-bc80-4060-9b44-5204c1169a85"/>
    <ds:schemaRef ds:uri="http://schemas.openxmlformats.org/package/2006/metadata/core-properties"/>
    <ds:schemaRef ds:uri="08ceecc5-2daa-47f4-9f70-3b427bddc800"/>
    <ds:schemaRef ds:uri="http://schemas.microsoft.com/office/2006/metadata/properties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Griffen Bon</dc:creator>
  <cp:lastModifiedBy>Griffen Bon</cp:lastModifiedBy>
  <dcterms:created xsi:type="dcterms:W3CDTF">2025-01-26T15:07:04Z</dcterms:created>
  <dcterms:modified xsi:type="dcterms:W3CDTF">2026-09-29T04:31:33Z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0x01010063A7684B9B3A4847BEEA9E9E87D5CBE2</vt:lpwstr>
  </property>
</Properties>
</file>