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Game mechanics\repo\"/>
    </mc:Choice>
  </mc:AlternateContent>
  <xr:revisionPtr revIDLastSave="0" documentId="8_{AB7B34CC-7DE9-4BC0-9101-B29A50B0D747}" xr6:coauthVersionLast="47" xr6:coauthVersionMax="47" xr10:uidLastSave="{00000000-0000-0000-0000-000000000000}"/>
  <bookViews>
    <workbookView xWindow="-98" yWindow="-98" windowWidth="19396" windowHeight="11475" xr2:uid="{B36563B5-C4CC-494B-A7D0-55797084B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2" i="1" l="1"/>
  <c r="V22" i="1"/>
  <c r="U22" i="1"/>
  <c r="T22" i="1"/>
  <c r="S22" i="1"/>
  <c r="R22" i="1"/>
  <c r="Q22" i="1"/>
  <c r="P22" i="1"/>
  <c r="N22" i="1"/>
  <c r="M22" i="1"/>
  <c r="G22" i="1"/>
  <c r="F22" i="1"/>
  <c r="D22" i="1"/>
  <c r="AB11" i="1"/>
  <c r="AB9" i="1"/>
  <c r="AB10" i="1"/>
  <c r="AB3" i="1"/>
  <c r="AB4" i="1"/>
  <c r="AB7" i="1"/>
  <c r="AB8" i="1"/>
  <c r="AB5" i="1"/>
  <c r="AB21" i="1"/>
  <c r="AB2" i="1"/>
  <c r="AB6" i="1"/>
  <c r="AB13" i="1"/>
  <c r="AB12" i="1"/>
  <c r="AB14" i="1"/>
  <c r="AB15" i="1"/>
  <c r="AB17" i="1"/>
  <c r="AB16" i="1"/>
  <c r="AB19" i="1"/>
  <c r="AB18" i="1"/>
  <c r="AB20" i="1"/>
  <c r="AA11" i="1"/>
  <c r="AA9" i="1"/>
  <c r="AA18" i="1"/>
  <c r="AA19" i="1"/>
  <c r="AA5" i="1"/>
  <c r="AA2" i="1"/>
  <c r="AA21" i="1"/>
  <c r="AA3" i="1"/>
  <c r="AA4" i="1"/>
  <c r="AA12" i="1"/>
  <c r="AA13" i="1"/>
  <c r="AA20" i="1"/>
  <c r="AA16" i="1"/>
  <c r="AA17" i="1"/>
  <c r="AA7" i="1"/>
  <c r="AA6" i="1"/>
  <c r="AA14" i="1"/>
  <c r="AA8" i="1"/>
  <c r="AA15" i="1"/>
  <c r="Z11" i="1"/>
  <c r="Z9" i="1"/>
  <c r="Z16" i="1"/>
  <c r="Z17" i="1"/>
  <c r="Z4" i="1"/>
  <c r="Z5" i="1"/>
  <c r="Z2" i="1"/>
  <c r="Z3" i="1"/>
  <c r="Z18" i="1"/>
  <c r="Z19" i="1"/>
  <c r="Z13" i="1"/>
  <c r="Z12" i="1"/>
  <c r="Z14" i="1"/>
  <c r="Z15" i="1"/>
  <c r="Z20" i="1"/>
  <c r="Z21" i="1"/>
  <c r="Z8" i="1"/>
  <c r="Z7" i="1"/>
  <c r="Z6" i="1"/>
  <c r="M10" i="1"/>
  <c r="Z10" i="1" s="1"/>
  <c r="AB22" i="1" l="1"/>
  <c r="AA10" i="1"/>
</calcChain>
</file>

<file path=xl/sharedStrings.xml><?xml version="1.0" encoding="utf-8"?>
<sst xmlns="http://schemas.openxmlformats.org/spreadsheetml/2006/main" count="71" uniqueCount="56">
  <si>
    <t>Uzi</t>
  </si>
  <si>
    <t>damage</t>
  </si>
  <si>
    <t>bullets</t>
  </si>
  <si>
    <t>range mod</t>
  </si>
  <si>
    <t>range</t>
  </si>
  <si>
    <t>gain range</t>
  </si>
  <si>
    <t>penetration layers</t>
  </si>
  <si>
    <t>penetration power</t>
  </si>
  <si>
    <t>penetration max distance</t>
  </si>
  <si>
    <t>cycle time</t>
  </si>
  <si>
    <t>clip size</t>
  </si>
  <si>
    <t>carry capacity</t>
  </si>
  <si>
    <t>recoil</t>
  </si>
  <si>
    <t>spread per shot</t>
  </si>
  <si>
    <t>max spread</t>
  </si>
  <si>
    <t>spread decay</t>
  </si>
  <si>
    <t>duck spread</t>
  </si>
  <si>
    <t>stand spread</t>
  </si>
  <si>
    <t>air spread</t>
  </si>
  <si>
    <t>movement spread</t>
  </si>
  <si>
    <t>Mac</t>
  </si>
  <si>
    <t>MP5</t>
  </si>
  <si>
    <t>pellet pitch</t>
  </si>
  <si>
    <t>pellet yaw</t>
  </si>
  <si>
    <t>chrome</t>
  </si>
  <si>
    <t>pump</t>
  </si>
  <si>
    <t>enemy penetration dist</t>
  </si>
  <si>
    <t>M16</t>
  </si>
  <si>
    <t>SCAR</t>
  </si>
  <si>
    <t>AK47</t>
  </si>
  <si>
    <t>SG552</t>
  </si>
  <si>
    <t>Benelli</t>
  </si>
  <si>
    <t>Spas</t>
  </si>
  <si>
    <t>Mini</t>
  </si>
  <si>
    <t>MSG3</t>
  </si>
  <si>
    <t>Scout</t>
  </si>
  <si>
    <t>AWP</t>
  </si>
  <si>
    <t>M79</t>
  </si>
  <si>
    <t>M60</t>
  </si>
  <si>
    <t>P220</t>
  </si>
  <si>
    <t>inf</t>
  </si>
  <si>
    <t>dual-wield</t>
  </si>
  <si>
    <t>Deagle</t>
  </si>
  <si>
    <t>weapon</t>
  </si>
  <si>
    <t>DPS</t>
  </si>
  <si>
    <t>common dps</t>
  </si>
  <si>
    <t>Shots to kill common</t>
  </si>
  <si>
    <t>common damage mult</t>
  </si>
  <si>
    <t>Type</t>
  </si>
  <si>
    <t>T2 Shotgun</t>
  </si>
  <si>
    <t>T3</t>
  </si>
  <si>
    <t>Rifle</t>
  </si>
  <si>
    <t>T1 Shotgun</t>
  </si>
  <si>
    <t>SMG</t>
  </si>
  <si>
    <t>Sniper</t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</si>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</sst>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04E150-37C9-429A-B5E4-734AA3DFF93B}" name="Table1" displayName="Table1" ref="B1:AB22" totalsRowCount="1">
  <autoFilter ref="B1:AB21" xr:uid="{D904E150-37C9-429A-B5E4-734AA3DFF93B}">
    <filterColumn colId="1">
      <filters>
        <filter val="Sniper"/>
      </filters>
    </filterColumn>
  </autoFilter>
  <sortState xmlns:xlrd2="http://schemas.microsoft.com/office/spreadsheetml/2017/richdata2" ref="B2:AB21">
    <sortCondition ref="C1:C21"/>
  </sortState>
  <tableColumns count="27">
    <tableColumn id="1" xr3:uid="{E5A82758-45B7-4108-822F-BF6DECB8A3A5}" name="weapon"/>
    <tableColumn id="27" xr3:uid="{E7C66180-F2A6-4B50-9E88-D6590121ACD1}" name="Type"/>
    <tableColumn id="2" xr3:uid="{A5627480-6589-4910-BA2E-CFED67EF662C}" name="damage" totalsRowFunction="custom">
      <totalsRowFormula>GEOMEAN(D2:D21)</totalsRowFormula>
    </tableColumn>
    <tableColumn id="3" xr3:uid="{D437B5E4-DE43-43BF-B5CE-E29BF605C057}" name="bullets"/>
    <tableColumn id="4" xr3:uid="{882E41A0-D067-42E9-B582-79625B8E629C}" name="range mod" totalsRowFunction="custom">
      <totalsRowFormula>GEOMEAN(F2:F21)</totalsRowFormula>
    </tableColumn>
    <tableColumn id="5" xr3:uid="{0E8D28DA-F5A9-4167-BD0E-20CEB2004D5F}" name="range" totalsRowFunction="custom">
      <totalsRowFormula>GEOMEAN(G2:G21)</totalsRowFormula>
    </tableColumn>
    <tableColumn id="6" xr3:uid="{5705A02B-1E94-4B1F-AB08-188433520905}" name="gain range"/>
    <tableColumn id="7" xr3:uid="{A8BBED23-17F0-43C3-A207-7E7B54868E17}" name="penetration layers"/>
    <tableColumn id="8" xr3:uid="{55E1BD89-A27D-41DA-BDD4-5039FD533389}" name="penetration power"/>
    <tableColumn id="9" xr3:uid="{E762C949-A6CF-4EBC-A06F-9EFA05FB9D43}" name="penetration max distance"/>
    <tableColumn id="10" xr3:uid="{DA6BDFC7-2EAB-4BBE-949C-4A22546E4633}" name="enemy penetration dist"/>
    <tableColumn id="11" xr3:uid="{F86307EE-C002-4331-A7AD-5F5D963444D9}" name="cycle time" totalsRowFunction="custom">
      <totalsRowFormula>GEOMEAN(M2:M21)</totalsRowFormula>
    </tableColumn>
    <tableColumn id="12" xr3:uid="{85D9F330-A98C-4D17-A720-C2042239DBED}" name="clip size" totalsRowFunction="custom">
      <totalsRowFormula>GEOMEAN(N2:N21)</totalsRowFormula>
    </tableColumn>
    <tableColumn id="13" xr3:uid="{D3D54C41-89D0-4E5A-AF35-19A2B0C4ECC0}" name="carry capacity"/>
    <tableColumn id="14" xr3:uid="{1E46C4F5-BB1E-4360-B253-710C5FC79AFC}" name="recoil" totalsRowFunction="custom">
      <totalsRowFormula>GEOMEAN(P2:P21)</totalsRowFormula>
    </tableColumn>
    <tableColumn id="15" xr3:uid="{182C5CBF-52DC-4DB5-85E2-912391438350}" name="spread per shot" totalsRowFunction="custom">
      <totalsRowFormula>GEOMEAN(Q2:Q21)</totalsRowFormula>
    </tableColumn>
    <tableColumn id="16" xr3:uid="{147B7F07-AE46-4338-9643-423B299BBCD9}" name="max spread" totalsRowFunction="custom">
      <totalsRowFormula>GEOMEAN(R2:R21)</totalsRowFormula>
    </tableColumn>
    <tableColumn id="17" xr3:uid="{99F7085B-D8F2-4338-A3AA-BDC954FAA057}" name="spread decay" totalsRowFunction="custom">
      <totalsRowFormula>GEOMEAN(S2:S21)</totalsRowFormula>
    </tableColumn>
    <tableColumn id="18" xr3:uid="{E14AE092-6A11-4257-BE71-AC90FA4B576E}" name="duck spread" totalsRowFunction="custom">
      <totalsRowFormula>GEOMEAN(T2:T21)</totalsRowFormula>
    </tableColumn>
    <tableColumn id="19" xr3:uid="{1FD21E6D-F5B5-4656-A201-02FD4AB2FD0F}" name="stand spread" totalsRowFunction="custom">
      <totalsRowFormula>GEOMEAN(U2:U21)</totalsRowFormula>
    </tableColumn>
    <tableColumn id="20" xr3:uid="{712E40ED-1A5C-4770-A138-6CBC74013E2D}" name="air spread" totalsRowFunction="custom">
      <totalsRowFormula>GEOMEAN(V2:V21)</totalsRowFormula>
    </tableColumn>
    <tableColumn id="21" xr3:uid="{BDE46E76-E53D-41C8-9C90-2C26AAABAFE4}" name="movement spread" totalsRowFunction="custom">
      <totalsRowFormula>GEOMEAN(W2:W21)</totalsRowFormula>
    </tableColumn>
    <tableColumn id="22" xr3:uid="{1A8C36AE-5C36-4F48-81DE-0AEAFDCB4F9B}" name="pellet pitch"/>
    <tableColumn id="23" xr3:uid="{290F4C1E-2CA3-415C-8302-97FB06C033F1}" name="pellet yaw"/>
    <tableColumn id="24" xr3:uid="{91BA92DC-7F70-4E38-BC4C-6706894D2E8C}" name="DPS" dataDxfId="2">
      <calculatedColumnFormula>Table1[[#This Row],[damage]]/Table1[[#This Row],[cycle time]]</calculatedColumnFormula>
    </tableColumn>
    <tableColumn id="25" xr3:uid="{AA3BB973-9A3E-4D3F-A3F9-F8A8D10B5BCA}" name="common dps" dataDxfId="1">
      <calculatedColumnFormula>50/_xlfn.CEILING.MATH(50/(_xlfn.FLOOR.MATH(Table1[[#This Row],[damage]]*Table1[[#This Row],[range mod]]^0.1*AC$3)))/Table1[[#This Row],[cycle time]]</calculatedColumnFormula>
    </tableColumn>
    <tableColumn id="26" xr3:uid="{559158F5-EA59-4742-A00C-17CC53755CE9}" name="Shots to kill common" totalsRowFunction="sum" dataDxfId="0">
      <calculatedColumnFormula>_xlfn.CEILING.MATH(50/(_xlfn.FLOOR.MATH(Table1[[#This Row],[damage]]*Table1[[#This Row],[range mod]]^0.1*AC$3)))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6C16-73F1-4DF7-BC30-B79F16323F26}">
  <dimension ref="B1:AC22"/>
  <sheetViews>
    <sheetView tabSelected="1" zoomScale="95" zoomScaleNormal="70" workbookViewId="0">
      <selection activeCell="D22" sqref="D22"/>
    </sheetView>
  </sheetViews>
  <sheetFormatPr defaultRowHeight="14.25" x14ac:dyDescent="0.45"/>
  <cols>
    <col min="2" max="2" width="9.59765625" bestFit="1" customWidth="1"/>
    <col min="3" max="3" width="9.59765625" customWidth="1"/>
    <col min="4" max="4" width="9.73046875" bestFit="1" customWidth="1"/>
    <col min="5" max="5" width="8.86328125" bestFit="1" customWidth="1"/>
    <col min="6" max="6" width="11.86328125" bestFit="1" customWidth="1"/>
    <col min="7" max="7" width="7.73046875" bestFit="1" customWidth="1"/>
    <col min="8" max="8" width="11.3984375" bestFit="1" customWidth="1"/>
    <col min="9" max="9" width="18.1328125" bestFit="1" customWidth="1"/>
    <col min="10" max="10" width="18.265625" bestFit="1" customWidth="1"/>
    <col min="11" max="11" width="24.265625" bestFit="1" customWidth="1"/>
    <col min="12" max="12" width="22.265625" bestFit="1" customWidth="1"/>
    <col min="13" max="13" width="11.73046875" bestFit="1" customWidth="1"/>
    <col min="14" max="14" width="9.86328125" bestFit="1" customWidth="1"/>
    <col min="15" max="15" width="14.59765625" bestFit="1" customWidth="1"/>
    <col min="16" max="16" width="8" bestFit="1" customWidth="1"/>
    <col min="17" max="17" width="15.86328125" bestFit="1" customWidth="1"/>
    <col min="18" max="18" width="12.59765625" bestFit="1" customWidth="1"/>
    <col min="19" max="19" width="14" bestFit="1" customWidth="1"/>
    <col min="20" max="20" width="13.1328125" bestFit="1" customWidth="1"/>
    <col min="21" max="21" width="13.73046875" bestFit="1" customWidth="1"/>
    <col min="22" max="22" width="11.265625" bestFit="1" customWidth="1"/>
    <col min="23" max="23" width="18" bestFit="1" customWidth="1"/>
    <col min="24" max="24" width="12.59765625" bestFit="1" customWidth="1"/>
    <col min="25" max="25" width="11.3984375" bestFit="1" customWidth="1"/>
    <col min="26" max="26" width="12" bestFit="1" customWidth="1"/>
    <col min="27" max="27" width="13.73046875" bestFit="1" customWidth="1"/>
    <col min="28" max="28" width="20.59765625" bestFit="1" customWidth="1"/>
    <col min="29" max="29" width="18.73046875" bestFit="1" customWidth="1"/>
  </cols>
  <sheetData>
    <row r="1" spans="2:29" x14ac:dyDescent="0.45">
      <c r="B1" t="s">
        <v>43</v>
      </c>
      <c r="C1" t="s">
        <v>48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26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22</v>
      </c>
      <c r="Y1" t="s">
        <v>23</v>
      </c>
      <c r="Z1" t="s">
        <v>44</v>
      </c>
      <c r="AA1" t="s">
        <v>45</v>
      </c>
      <c r="AB1" t="s">
        <v>46</v>
      </c>
    </row>
    <row r="2" spans="2:29" hidden="1" x14ac:dyDescent="0.45">
      <c r="B2" t="s">
        <v>29</v>
      </c>
      <c r="C2" t="s">
        <v>51</v>
      </c>
      <c r="D2">
        <v>58</v>
      </c>
      <c r="E2">
        <v>1</v>
      </c>
      <c r="F2">
        <v>0.97</v>
      </c>
      <c r="G2">
        <v>3000</v>
      </c>
      <c r="H2">
        <v>1500</v>
      </c>
      <c r="I2">
        <v>2</v>
      </c>
      <c r="J2">
        <v>50</v>
      </c>
      <c r="K2">
        <v>0</v>
      </c>
      <c r="L2">
        <v>0</v>
      </c>
      <c r="M2">
        <v>0.13</v>
      </c>
      <c r="N2">
        <v>40</v>
      </c>
      <c r="O2">
        <v>360</v>
      </c>
      <c r="P2">
        <v>2</v>
      </c>
      <c r="Q2">
        <v>1.6</v>
      </c>
      <c r="R2">
        <v>35</v>
      </c>
      <c r="S2">
        <v>7</v>
      </c>
      <c r="T2">
        <v>0.5</v>
      </c>
      <c r="U2">
        <v>1</v>
      </c>
      <c r="V2">
        <v>3</v>
      </c>
      <c r="W2">
        <v>6</v>
      </c>
      <c r="X2">
        <v>0</v>
      </c>
      <c r="Y2">
        <v>0</v>
      </c>
      <c r="Z2">
        <f>Table1[[#This Row],[damage]]/Table1[[#This Row],[cycle time]]</f>
        <v>446.15384615384613</v>
      </c>
      <c r="AA2">
        <f>50/_xlfn.CEILING.MATH(50/(_xlfn.FLOOR.MATH(Table1[[#This Row],[damage]]*Table1[[#This Row],[range mod]]^0.1*AC$3)))/Table1[[#This Row],[cycle time]]</f>
        <v>128.2051282051282</v>
      </c>
      <c r="AB2">
        <f>_xlfn.CEILING.MATH(50/(_xlfn.FLOOR.MATH(Table1[[#This Row],[damage]]*Table1[[#This Row],[range mod]]^0.1*AC$3)))</f>
        <v>3</v>
      </c>
      <c r="AC2" t="s">
        <v>47</v>
      </c>
    </row>
    <row r="3" spans="2:29" hidden="1" x14ac:dyDescent="0.45">
      <c r="B3" t="s">
        <v>30</v>
      </c>
      <c r="C3" t="s">
        <v>51</v>
      </c>
      <c r="D3">
        <v>33</v>
      </c>
      <c r="E3">
        <v>1</v>
      </c>
      <c r="F3">
        <v>0.97</v>
      </c>
      <c r="G3">
        <v>3000</v>
      </c>
      <c r="H3">
        <v>1500</v>
      </c>
      <c r="I3">
        <v>2</v>
      </c>
      <c r="J3">
        <v>50</v>
      </c>
      <c r="K3">
        <v>0</v>
      </c>
      <c r="L3">
        <v>0</v>
      </c>
      <c r="M3">
        <v>8.2500000000000004E-2</v>
      </c>
      <c r="N3">
        <v>50</v>
      </c>
      <c r="O3">
        <v>360</v>
      </c>
      <c r="P3">
        <v>1.2</v>
      </c>
      <c r="Q3">
        <v>0.75</v>
      </c>
      <c r="R3">
        <v>30</v>
      </c>
      <c r="S3">
        <v>5</v>
      </c>
      <c r="T3">
        <v>0.05</v>
      </c>
      <c r="U3">
        <v>0.4</v>
      </c>
      <c r="V3">
        <v>1.5</v>
      </c>
      <c r="W3">
        <v>5</v>
      </c>
      <c r="X3">
        <v>0</v>
      </c>
      <c r="Y3">
        <v>0</v>
      </c>
      <c r="Z3">
        <f>Table1[[#This Row],[damage]]/Table1[[#This Row],[cycle time]]</f>
        <v>400</v>
      </c>
      <c r="AA3">
        <f>50/_xlfn.CEILING.MATH(50/(_xlfn.FLOOR.MATH(Table1[[#This Row],[damage]]*Table1[[#This Row],[range mod]]^0.1*AC$3)))/Table1[[#This Row],[cycle time]]</f>
        <v>121.2121212121212</v>
      </c>
      <c r="AB3">
        <f>_xlfn.CEILING.MATH(50/(_xlfn.FLOOR.MATH(Table1[[#This Row],[damage]]*Table1[[#This Row],[range mod]]^0.1*AC$3)))</f>
        <v>5</v>
      </c>
      <c r="AC3">
        <v>0.375</v>
      </c>
    </row>
    <row r="4" spans="2:29" hidden="1" x14ac:dyDescent="0.45">
      <c r="B4" t="s">
        <v>27</v>
      </c>
      <c r="C4" t="s">
        <v>51</v>
      </c>
      <c r="D4">
        <v>33</v>
      </c>
      <c r="E4">
        <v>1</v>
      </c>
      <c r="F4">
        <v>0.97</v>
      </c>
      <c r="G4">
        <v>3000</v>
      </c>
      <c r="H4">
        <v>1500</v>
      </c>
      <c r="I4">
        <v>2</v>
      </c>
      <c r="J4">
        <v>50</v>
      </c>
      <c r="K4">
        <v>0</v>
      </c>
      <c r="L4">
        <v>0</v>
      </c>
      <c r="M4">
        <v>8.7499999999999994E-2</v>
      </c>
      <c r="N4">
        <v>50</v>
      </c>
      <c r="O4">
        <v>360</v>
      </c>
      <c r="P4">
        <v>1.2</v>
      </c>
      <c r="Q4">
        <v>0.75</v>
      </c>
      <c r="R4">
        <v>30</v>
      </c>
      <c r="S4">
        <v>5</v>
      </c>
      <c r="T4">
        <v>0.05</v>
      </c>
      <c r="U4">
        <v>0.4</v>
      </c>
      <c r="V4">
        <v>1.5</v>
      </c>
      <c r="W4">
        <v>5</v>
      </c>
      <c r="X4">
        <v>0</v>
      </c>
      <c r="Y4">
        <v>0</v>
      </c>
      <c r="Z4">
        <f>Table1[[#This Row],[damage]]/Table1[[#This Row],[cycle time]]</f>
        <v>377.14285714285717</v>
      </c>
      <c r="AA4">
        <f>50/_xlfn.CEILING.MATH(50/(_xlfn.FLOOR.MATH(Table1[[#This Row],[damage]]*Table1[[#This Row],[range mod]]^0.1*AC$3)))/Table1[[#This Row],[cycle time]]</f>
        <v>114.28571428571429</v>
      </c>
      <c r="AB4">
        <f>_xlfn.CEILING.MATH(50/(_xlfn.FLOOR.MATH(Table1[[#This Row],[damage]]*Table1[[#This Row],[range mod]]^0.1*AC$3)))</f>
        <v>5</v>
      </c>
    </row>
    <row r="5" spans="2:29" hidden="1" x14ac:dyDescent="0.45">
      <c r="B5" t="s">
        <v>28</v>
      </c>
      <c r="C5" t="s">
        <v>51</v>
      </c>
      <c r="D5">
        <v>44</v>
      </c>
      <c r="E5">
        <v>1</v>
      </c>
      <c r="F5">
        <v>0.97</v>
      </c>
      <c r="G5">
        <v>3000</v>
      </c>
      <c r="H5">
        <v>1500</v>
      </c>
      <c r="I5">
        <v>2</v>
      </c>
      <c r="J5">
        <v>50</v>
      </c>
      <c r="K5">
        <v>0</v>
      </c>
      <c r="L5">
        <v>0</v>
      </c>
      <c r="M5">
        <v>0.12</v>
      </c>
      <c r="N5">
        <v>60</v>
      </c>
      <c r="O5">
        <v>360</v>
      </c>
      <c r="P5">
        <v>1</v>
      </c>
      <c r="Q5">
        <v>0.6</v>
      </c>
      <c r="R5">
        <v>25</v>
      </c>
      <c r="S5">
        <v>4</v>
      </c>
      <c r="T5">
        <v>0.05</v>
      </c>
      <c r="U5">
        <v>0.35</v>
      </c>
      <c r="V5">
        <v>1.25</v>
      </c>
      <c r="W5">
        <v>4</v>
      </c>
      <c r="X5">
        <v>0</v>
      </c>
      <c r="Y5">
        <v>0</v>
      </c>
      <c r="Z5">
        <f>Table1[[#This Row],[damage]]/Table1[[#This Row],[cycle time]]</f>
        <v>366.66666666666669</v>
      </c>
      <c r="AA5">
        <f>50/_xlfn.CEILING.MATH(50/(_xlfn.FLOOR.MATH(Table1[[#This Row],[damage]]*Table1[[#This Row],[range mod]]^0.1*AC$3)))/Table1[[#This Row],[cycle time]]</f>
        <v>104.16666666666667</v>
      </c>
      <c r="AB5">
        <f>_xlfn.CEILING.MATH(50/(_xlfn.FLOOR.MATH(Table1[[#This Row],[damage]]*Table1[[#This Row],[range mod]]^0.1*AC$3)))</f>
        <v>4</v>
      </c>
    </row>
    <row r="6" spans="2:29" hidden="1" x14ac:dyDescent="0.45">
      <c r="B6" t="s">
        <v>42</v>
      </c>
      <c r="C6" t="s">
        <v>55</v>
      </c>
      <c r="D6">
        <v>80</v>
      </c>
      <c r="E6">
        <v>1</v>
      </c>
      <c r="F6">
        <v>0.75</v>
      </c>
      <c r="G6">
        <v>3500</v>
      </c>
      <c r="I6">
        <v>2</v>
      </c>
      <c r="J6">
        <v>50</v>
      </c>
      <c r="K6">
        <v>0</v>
      </c>
      <c r="L6">
        <v>0</v>
      </c>
      <c r="M6">
        <v>0.3</v>
      </c>
      <c r="N6">
        <v>8</v>
      </c>
      <c r="O6" t="s">
        <v>40</v>
      </c>
      <c r="P6">
        <v>4</v>
      </c>
      <c r="Q6">
        <v>2</v>
      </c>
      <c r="R6">
        <v>30</v>
      </c>
      <c r="S6">
        <v>5</v>
      </c>
      <c r="T6">
        <v>0.5</v>
      </c>
      <c r="U6">
        <v>1.25</v>
      </c>
      <c r="V6">
        <v>3</v>
      </c>
      <c r="W6">
        <v>3</v>
      </c>
      <c r="X6">
        <v>0</v>
      </c>
      <c r="Y6">
        <v>0</v>
      </c>
      <c r="Z6">
        <f>Table1[[#This Row],[damage]]/Table1[[#This Row],[cycle time]]</f>
        <v>266.66666666666669</v>
      </c>
      <c r="AA6">
        <f>50/_xlfn.CEILING.MATH(50/(_xlfn.FLOOR.MATH(Table1[[#This Row],[damage]]*Table1[[#This Row],[range mod]]^0.1*AC$3)))/Table1[[#This Row],[cycle time]]</f>
        <v>83.333333333333343</v>
      </c>
      <c r="AB6">
        <f>_xlfn.CEILING.MATH(50/(_xlfn.FLOOR.MATH(Table1[[#This Row],[damage]]*Table1[[#This Row],[range mod]]^0.1*AC$3)))</f>
        <v>2</v>
      </c>
    </row>
    <row r="7" spans="2:29" hidden="1" x14ac:dyDescent="0.45">
      <c r="B7" t="s">
        <v>41</v>
      </c>
      <c r="C7" t="s">
        <v>55</v>
      </c>
      <c r="D7">
        <v>36</v>
      </c>
      <c r="E7">
        <v>1</v>
      </c>
      <c r="F7">
        <v>0.75</v>
      </c>
      <c r="G7">
        <v>2500</v>
      </c>
      <c r="I7">
        <v>2</v>
      </c>
      <c r="J7">
        <v>30</v>
      </c>
      <c r="K7">
        <v>0</v>
      </c>
      <c r="L7">
        <v>0</v>
      </c>
      <c r="M7">
        <v>0.17499999999999999</v>
      </c>
      <c r="N7">
        <v>30</v>
      </c>
      <c r="O7" t="s">
        <v>40</v>
      </c>
      <c r="P7">
        <v>2</v>
      </c>
      <c r="Q7">
        <v>1</v>
      </c>
      <c r="R7">
        <v>30</v>
      </c>
      <c r="S7">
        <v>5</v>
      </c>
      <c r="T7">
        <v>0.5</v>
      </c>
      <c r="U7">
        <v>1.5</v>
      </c>
      <c r="V7">
        <v>3</v>
      </c>
      <c r="W7">
        <v>3</v>
      </c>
      <c r="X7">
        <v>0</v>
      </c>
      <c r="Y7">
        <v>0</v>
      </c>
      <c r="Z7">
        <f>Table1[[#This Row],[damage]]/Table1[[#This Row],[cycle time]]</f>
        <v>205.71428571428572</v>
      </c>
      <c r="AA7">
        <f>50/_xlfn.CEILING.MATH(50/(_xlfn.FLOOR.MATH(Table1[[#This Row],[damage]]*Table1[[#This Row],[range mod]]^0.1*AC$3)))/Table1[[#This Row],[cycle time]]</f>
        <v>71.428571428571431</v>
      </c>
      <c r="AB7">
        <f>_xlfn.CEILING.MATH(50/(_xlfn.FLOOR.MATH(Table1[[#This Row],[damage]]*Table1[[#This Row],[range mod]]^0.1*AC$3)))</f>
        <v>4</v>
      </c>
    </row>
    <row r="8" spans="2:29" hidden="1" x14ac:dyDescent="0.45">
      <c r="B8" t="s">
        <v>39</v>
      </c>
      <c r="C8" t="s">
        <v>55</v>
      </c>
      <c r="D8">
        <v>36</v>
      </c>
      <c r="E8">
        <v>1</v>
      </c>
      <c r="F8">
        <v>0.75</v>
      </c>
      <c r="G8">
        <v>2500</v>
      </c>
      <c r="I8">
        <v>2</v>
      </c>
      <c r="J8">
        <v>30</v>
      </c>
      <c r="K8">
        <v>0</v>
      </c>
      <c r="L8">
        <v>0</v>
      </c>
      <c r="M8">
        <v>0.35</v>
      </c>
      <c r="N8">
        <v>15</v>
      </c>
      <c r="O8" t="s">
        <v>40</v>
      </c>
      <c r="P8">
        <v>2</v>
      </c>
      <c r="Q8">
        <v>1</v>
      </c>
      <c r="R8">
        <v>30</v>
      </c>
      <c r="S8">
        <v>5</v>
      </c>
      <c r="T8">
        <v>0.5</v>
      </c>
      <c r="U8">
        <v>1.5</v>
      </c>
      <c r="V8">
        <v>3</v>
      </c>
      <c r="W8">
        <v>3</v>
      </c>
      <c r="X8">
        <v>0</v>
      </c>
      <c r="Y8">
        <v>0</v>
      </c>
      <c r="Z8">
        <f>Table1[[#This Row],[damage]]/Table1[[#This Row],[cycle time]]</f>
        <v>102.85714285714286</v>
      </c>
      <c r="AA8">
        <f>50/_xlfn.CEILING.MATH(50/(_xlfn.FLOOR.MATH(Table1[[#This Row],[damage]]*Table1[[#This Row],[range mod]]^0.1*AC$3)))/Table1[[#This Row],[cycle time]]</f>
        <v>35.714285714285715</v>
      </c>
      <c r="AB8">
        <f>_xlfn.CEILING.MATH(50/(_xlfn.FLOOR.MATH(Table1[[#This Row],[damage]]*Table1[[#This Row],[range mod]]^0.1*AC$3)))</f>
        <v>4</v>
      </c>
    </row>
    <row r="9" spans="2:29" hidden="1" x14ac:dyDescent="0.45">
      <c r="B9" t="s">
        <v>20</v>
      </c>
      <c r="C9" t="s">
        <v>53</v>
      </c>
      <c r="D9">
        <v>25</v>
      </c>
      <c r="E9">
        <v>1</v>
      </c>
      <c r="F9">
        <v>0.84</v>
      </c>
      <c r="G9">
        <v>2200</v>
      </c>
      <c r="H9">
        <v>900</v>
      </c>
      <c r="I9">
        <v>2</v>
      </c>
      <c r="J9">
        <v>30</v>
      </c>
      <c r="K9">
        <v>0</v>
      </c>
      <c r="L9">
        <v>0</v>
      </c>
      <c r="M9">
        <v>6.25E-2</v>
      </c>
      <c r="N9">
        <v>50</v>
      </c>
      <c r="O9">
        <v>650</v>
      </c>
      <c r="P9">
        <v>1</v>
      </c>
      <c r="Q9">
        <v>0.4</v>
      </c>
      <c r="R9">
        <v>30</v>
      </c>
      <c r="S9">
        <v>5</v>
      </c>
      <c r="T9">
        <v>0.85</v>
      </c>
      <c r="U9">
        <v>1.2</v>
      </c>
      <c r="V9">
        <v>1.7</v>
      </c>
      <c r="W9">
        <v>3</v>
      </c>
      <c r="X9">
        <v>0</v>
      </c>
      <c r="Y9">
        <v>0</v>
      </c>
      <c r="Z9">
        <f>Table1[[#This Row],[damage]]/Table1[[#This Row],[cycle time]]</f>
        <v>400</v>
      </c>
      <c r="AA9">
        <f>50/_xlfn.CEILING.MATH(50/(_xlfn.FLOOR.MATH(Table1[[#This Row],[damage]]*Table1[[#This Row],[range mod]]^0.1*AC$3)))/Table1[[#This Row],[cycle time]]</f>
        <v>133.33333333333334</v>
      </c>
      <c r="AB9">
        <f>_xlfn.CEILING.MATH(50/(_xlfn.FLOOR.MATH(Table1[[#This Row],[damage]]*Table1[[#This Row],[range mod]]^0.1*AC$3)))</f>
        <v>6</v>
      </c>
    </row>
    <row r="10" spans="2:29" hidden="1" x14ac:dyDescent="0.45">
      <c r="B10" t="s">
        <v>21</v>
      </c>
      <c r="C10" t="s">
        <v>53</v>
      </c>
      <c r="D10">
        <v>26</v>
      </c>
      <c r="E10">
        <v>1</v>
      </c>
      <c r="F10">
        <v>0.84</v>
      </c>
      <c r="G10">
        <v>2500</v>
      </c>
      <c r="I10">
        <v>2</v>
      </c>
      <c r="J10">
        <v>30</v>
      </c>
      <c r="K10">
        <v>0</v>
      </c>
      <c r="L10">
        <v>0</v>
      </c>
      <c r="M10">
        <f>60/800</f>
        <v>7.4999999999999997E-2</v>
      </c>
      <c r="N10">
        <v>50</v>
      </c>
      <c r="O10">
        <v>650</v>
      </c>
      <c r="P10">
        <v>1</v>
      </c>
      <c r="Q10">
        <v>0.32</v>
      </c>
      <c r="R10">
        <v>30</v>
      </c>
      <c r="S10">
        <v>5</v>
      </c>
      <c r="T10">
        <v>0.75</v>
      </c>
      <c r="U10">
        <v>1.1000000000000001</v>
      </c>
      <c r="V10">
        <v>1.7</v>
      </c>
      <c r="W10">
        <v>3</v>
      </c>
      <c r="X10">
        <v>0</v>
      </c>
      <c r="Y10">
        <v>0</v>
      </c>
      <c r="Z10">
        <f>Table1[[#This Row],[damage]]/Table1[[#This Row],[cycle time]]</f>
        <v>346.66666666666669</v>
      </c>
      <c r="AA10">
        <f>50/_xlfn.CEILING.MATH(50/(_xlfn.FLOOR.MATH(Table1[[#This Row],[damage]]*Table1[[#This Row],[range mod]]^0.1*AC$3)))/Table1[[#This Row],[cycle time]]</f>
        <v>111.11111111111113</v>
      </c>
      <c r="AB10">
        <f>_xlfn.CEILING.MATH(50/(_xlfn.FLOOR.MATH(Table1[[#This Row],[damage]]*Table1[[#This Row],[range mod]]^0.1*AC$3)))</f>
        <v>6</v>
      </c>
    </row>
    <row r="11" spans="2:29" hidden="1" x14ac:dyDescent="0.45">
      <c r="B11" t="s">
        <v>0</v>
      </c>
      <c r="C11" t="s">
        <v>53</v>
      </c>
      <c r="D11">
        <v>20</v>
      </c>
      <c r="E11">
        <v>1</v>
      </c>
      <c r="F11">
        <v>0.84</v>
      </c>
      <c r="G11">
        <v>2500</v>
      </c>
      <c r="I11">
        <v>2</v>
      </c>
      <c r="J11">
        <v>30</v>
      </c>
      <c r="K11">
        <v>0</v>
      </c>
      <c r="L11">
        <v>0</v>
      </c>
      <c r="M11">
        <v>6.25E-2</v>
      </c>
      <c r="N11">
        <v>50</v>
      </c>
      <c r="O11">
        <v>650</v>
      </c>
      <c r="P11">
        <v>0.9</v>
      </c>
      <c r="Q11">
        <v>0.32</v>
      </c>
      <c r="R11">
        <v>30</v>
      </c>
      <c r="S11">
        <v>5</v>
      </c>
      <c r="T11">
        <v>0.7</v>
      </c>
      <c r="U11">
        <v>1</v>
      </c>
      <c r="V11">
        <v>1.7</v>
      </c>
      <c r="W11">
        <v>3</v>
      </c>
      <c r="X11">
        <v>0</v>
      </c>
      <c r="Y11">
        <v>0</v>
      </c>
      <c r="Z11">
        <f>Table1[[#This Row],[damage]]/Table1[[#This Row],[cycle time]]</f>
        <v>320</v>
      </c>
      <c r="AA11">
        <f>50/_xlfn.CEILING.MATH(50/(_xlfn.FLOOR.MATH(Table1[[#This Row],[damage]]*Table1[[#This Row],[range mod]]^0.1*AC$3)))/Table1[[#This Row],[cycle time]]</f>
        <v>100</v>
      </c>
      <c r="AB11">
        <f>_xlfn.CEILING.MATH(50/(_xlfn.FLOOR.MATH(Table1[[#This Row],[damage]]*Table1[[#This Row],[range mod]]^0.1*AC$3)))</f>
        <v>8</v>
      </c>
    </row>
    <row r="12" spans="2:29" x14ac:dyDescent="0.45">
      <c r="B12" t="s">
        <v>34</v>
      </c>
      <c r="C12" t="s">
        <v>54</v>
      </c>
      <c r="D12">
        <v>90</v>
      </c>
      <c r="E12">
        <v>1</v>
      </c>
      <c r="F12">
        <v>1</v>
      </c>
      <c r="G12">
        <v>8192</v>
      </c>
      <c r="I12">
        <v>2</v>
      </c>
      <c r="J12">
        <v>50</v>
      </c>
      <c r="K12">
        <v>0</v>
      </c>
      <c r="L12">
        <v>8192</v>
      </c>
      <c r="M12">
        <v>0.25</v>
      </c>
      <c r="N12">
        <v>30</v>
      </c>
      <c r="O12">
        <v>150</v>
      </c>
      <c r="P12">
        <v>1.5</v>
      </c>
      <c r="Q12">
        <v>1</v>
      </c>
      <c r="R12">
        <v>15</v>
      </c>
      <c r="S12">
        <v>8</v>
      </c>
      <c r="T12">
        <v>0.05</v>
      </c>
      <c r="U12">
        <v>0.5</v>
      </c>
      <c r="V12">
        <v>1.5</v>
      </c>
      <c r="W12">
        <v>5</v>
      </c>
      <c r="X12">
        <v>0</v>
      </c>
      <c r="Y12">
        <v>0</v>
      </c>
      <c r="Z12">
        <f>Table1[[#This Row],[damage]]/Table1[[#This Row],[cycle time]]</f>
        <v>360</v>
      </c>
      <c r="AA12">
        <f>50/_xlfn.CEILING.MATH(50/(_xlfn.FLOOR.MATH(Table1[[#This Row],[damage]]*Table1[[#This Row],[range mod]]^0.1*AC$3)))/Table1[[#This Row],[cycle time]]</f>
        <v>100</v>
      </c>
      <c r="AB12">
        <f>_xlfn.CEILING.MATH(50/(_xlfn.FLOOR.MATH(Table1[[#This Row],[damage]]*Table1[[#This Row],[range mod]]^0.1*AC$3)))</f>
        <v>2</v>
      </c>
    </row>
    <row r="13" spans="2:29" x14ac:dyDescent="0.45">
      <c r="B13" t="s">
        <v>33</v>
      </c>
      <c r="C13" t="s">
        <v>54</v>
      </c>
      <c r="D13">
        <v>90</v>
      </c>
      <c r="E13">
        <v>1</v>
      </c>
      <c r="F13">
        <v>1</v>
      </c>
      <c r="G13">
        <v>8192</v>
      </c>
      <c r="I13">
        <v>2</v>
      </c>
      <c r="J13">
        <v>50</v>
      </c>
      <c r="K13">
        <v>0</v>
      </c>
      <c r="L13">
        <v>8192</v>
      </c>
      <c r="M13">
        <v>0.25</v>
      </c>
      <c r="N13">
        <v>15</v>
      </c>
      <c r="O13">
        <v>150</v>
      </c>
      <c r="P13">
        <v>1.5</v>
      </c>
      <c r="Q13">
        <v>1</v>
      </c>
      <c r="R13">
        <v>15</v>
      </c>
      <c r="S13">
        <v>8</v>
      </c>
      <c r="T13">
        <v>0</v>
      </c>
      <c r="U13">
        <v>0.1</v>
      </c>
      <c r="V13">
        <v>1.5</v>
      </c>
      <c r="W13">
        <v>3</v>
      </c>
      <c r="X13">
        <v>0</v>
      </c>
      <c r="Y13">
        <v>0</v>
      </c>
      <c r="Z13">
        <f>Table1[[#This Row],[damage]]/Table1[[#This Row],[cycle time]]</f>
        <v>360</v>
      </c>
      <c r="AA13">
        <f>50/_xlfn.CEILING.MATH(50/(_xlfn.FLOOR.MATH(Table1[[#This Row],[damage]]*Table1[[#This Row],[range mod]]^0.1*AC$3)))/Table1[[#This Row],[cycle time]]</f>
        <v>100</v>
      </c>
      <c r="AB13">
        <f>_xlfn.CEILING.MATH(50/(_xlfn.FLOOR.MATH(Table1[[#This Row],[damage]]*Table1[[#This Row],[range mod]]^0.1*AC$3)))</f>
        <v>2</v>
      </c>
    </row>
    <row r="14" spans="2:29" x14ac:dyDescent="0.45">
      <c r="B14" t="s">
        <v>35</v>
      </c>
      <c r="C14" t="s">
        <v>54</v>
      </c>
      <c r="D14">
        <v>105</v>
      </c>
      <c r="E14">
        <v>1</v>
      </c>
      <c r="F14">
        <v>1</v>
      </c>
      <c r="G14">
        <v>8192</v>
      </c>
      <c r="I14">
        <v>2</v>
      </c>
      <c r="J14">
        <v>50</v>
      </c>
      <c r="K14">
        <v>0</v>
      </c>
      <c r="L14">
        <v>8192</v>
      </c>
      <c r="M14">
        <v>0.9</v>
      </c>
      <c r="N14">
        <v>15</v>
      </c>
      <c r="O14">
        <v>180</v>
      </c>
      <c r="P14">
        <v>1.5</v>
      </c>
      <c r="Q14">
        <v>1</v>
      </c>
      <c r="R14">
        <v>15</v>
      </c>
      <c r="S14">
        <v>8</v>
      </c>
      <c r="T14">
        <v>0</v>
      </c>
      <c r="U14">
        <v>0.1</v>
      </c>
      <c r="V14">
        <v>1.5</v>
      </c>
      <c r="W14">
        <v>3</v>
      </c>
      <c r="X14">
        <v>0</v>
      </c>
      <c r="Y14">
        <v>0</v>
      </c>
      <c r="Z14">
        <f>Table1[[#This Row],[damage]]/Table1[[#This Row],[cycle time]]</f>
        <v>116.66666666666666</v>
      </c>
      <c r="AA14">
        <f>50/_xlfn.CEILING.MATH(50/(_xlfn.FLOOR.MATH(Table1[[#This Row],[damage]]*Table1[[#This Row],[range mod]]^0.1*AC$3)))/Table1[[#This Row],[cycle time]]</f>
        <v>27.777777777777779</v>
      </c>
      <c r="AB14">
        <f>_xlfn.CEILING.MATH(50/(_xlfn.FLOOR.MATH(Table1[[#This Row],[damage]]*Table1[[#This Row],[range mod]]^0.1*AC$3)))</f>
        <v>2</v>
      </c>
    </row>
    <row r="15" spans="2:29" x14ac:dyDescent="0.45">
      <c r="B15" t="s">
        <v>36</v>
      </c>
      <c r="C15" t="s">
        <v>54</v>
      </c>
      <c r="D15">
        <v>115</v>
      </c>
      <c r="E15">
        <v>1</v>
      </c>
      <c r="F15">
        <v>1</v>
      </c>
      <c r="G15">
        <v>8192</v>
      </c>
      <c r="I15">
        <v>2</v>
      </c>
      <c r="J15">
        <v>50</v>
      </c>
      <c r="K15">
        <v>0</v>
      </c>
      <c r="L15">
        <v>8192</v>
      </c>
      <c r="M15">
        <v>1.05</v>
      </c>
      <c r="N15">
        <v>20</v>
      </c>
      <c r="O15">
        <v>180</v>
      </c>
      <c r="P15">
        <v>1.5</v>
      </c>
      <c r="Q15">
        <v>1</v>
      </c>
      <c r="R15">
        <v>15</v>
      </c>
      <c r="S15">
        <v>8</v>
      </c>
      <c r="T15">
        <v>0</v>
      </c>
      <c r="U15">
        <v>0.1</v>
      </c>
      <c r="V15">
        <v>1.5</v>
      </c>
      <c r="W15">
        <v>4</v>
      </c>
      <c r="X15">
        <v>0</v>
      </c>
      <c r="Y15">
        <v>0</v>
      </c>
      <c r="Z15">
        <f>Table1[[#This Row],[damage]]/Table1[[#This Row],[cycle time]]</f>
        <v>109.52380952380952</v>
      </c>
      <c r="AA15">
        <f>50/_xlfn.CEILING.MATH(50/(_xlfn.FLOOR.MATH(Table1[[#This Row],[damage]]*Table1[[#This Row],[range mod]]^0.1*AC$3)))/Table1[[#This Row],[cycle time]]</f>
        <v>23.80952380952381</v>
      </c>
      <c r="AB15">
        <f>_xlfn.CEILING.MATH(50/(_xlfn.FLOOR.MATH(Table1[[#This Row],[damage]]*Table1[[#This Row],[range mod]]^0.1*AC$3)))</f>
        <v>2</v>
      </c>
    </row>
    <row r="16" spans="2:29" hidden="1" x14ac:dyDescent="0.45">
      <c r="B16" t="s">
        <v>25</v>
      </c>
      <c r="C16" t="s">
        <v>52</v>
      </c>
      <c r="D16">
        <v>250</v>
      </c>
      <c r="E16">
        <v>10</v>
      </c>
      <c r="F16">
        <v>0.7</v>
      </c>
      <c r="G16">
        <v>3000</v>
      </c>
      <c r="I16">
        <v>2</v>
      </c>
      <c r="J16">
        <v>30</v>
      </c>
      <c r="K16">
        <v>500</v>
      </c>
      <c r="L16">
        <v>300</v>
      </c>
      <c r="M16">
        <v>0.5</v>
      </c>
      <c r="N16">
        <v>8</v>
      </c>
      <c r="O16">
        <v>72</v>
      </c>
      <c r="P16">
        <v>4</v>
      </c>
      <c r="Q16">
        <v>1</v>
      </c>
      <c r="R16">
        <v>5</v>
      </c>
      <c r="S16">
        <v>5</v>
      </c>
      <c r="T16">
        <v>0</v>
      </c>
      <c r="U16">
        <v>0.8</v>
      </c>
      <c r="V16">
        <v>2.5</v>
      </c>
      <c r="W16">
        <v>1.5</v>
      </c>
      <c r="X16">
        <v>5</v>
      </c>
      <c r="Y16">
        <v>7.5</v>
      </c>
      <c r="Z16">
        <f>Table1[[#This Row],[damage]]/Table1[[#This Row],[cycle time]]</f>
        <v>500</v>
      </c>
      <c r="AA16">
        <f>50/_xlfn.CEILING.MATH(50/(_xlfn.FLOOR.MATH(Table1[[#This Row],[damage]]*Table1[[#This Row],[range mod]]^0.1*AC$3)))/Table1[[#This Row],[cycle time]]</f>
        <v>100</v>
      </c>
      <c r="AB16">
        <f>_xlfn.CEILING.MATH(50/(_xlfn.FLOOR.MATH(Table1[[#This Row],[damage]]*Table1[[#This Row],[range mod]]^0.1*AC$3)))</f>
        <v>1</v>
      </c>
    </row>
    <row r="17" spans="2:28" hidden="1" x14ac:dyDescent="0.45">
      <c r="B17" t="s">
        <v>24</v>
      </c>
      <c r="C17" t="s">
        <v>52</v>
      </c>
      <c r="D17">
        <v>248</v>
      </c>
      <c r="E17">
        <v>8</v>
      </c>
      <c r="F17">
        <v>0.7</v>
      </c>
      <c r="G17">
        <v>3000</v>
      </c>
      <c r="I17">
        <v>2</v>
      </c>
      <c r="J17">
        <v>30</v>
      </c>
      <c r="K17">
        <v>500</v>
      </c>
      <c r="L17">
        <v>300</v>
      </c>
      <c r="M17">
        <v>0.5</v>
      </c>
      <c r="N17">
        <v>8</v>
      </c>
      <c r="O17">
        <v>72</v>
      </c>
      <c r="P17">
        <v>4</v>
      </c>
      <c r="Q17">
        <v>1</v>
      </c>
      <c r="R17">
        <v>5</v>
      </c>
      <c r="S17">
        <v>5</v>
      </c>
      <c r="T17">
        <v>0</v>
      </c>
      <c r="U17">
        <v>0.8</v>
      </c>
      <c r="V17">
        <v>2.5</v>
      </c>
      <c r="W17">
        <v>1.5</v>
      </c>
      <c r="X17">
        <v>3</v>
      </c>
      <c r="Y17">
        <v>5</v>
      </c>
      <c r="Z17">
        <f>Table1[[#This Row],[damage]]/Table1[[#This Row],[cycle time]]</f>
        <v>496</v>
      </c>
      <c r="AA17">
        <f>50/_xlfn.CEILING.MATH(50/(_xlfn.FLOOR.MATH(Table1[[#This Row],[damage]]*Table1[[#This Row],[range mod]]^0.1*AC$3)))/Table1[[#This Row],[cycle time]]</f>
        <v>100</v>
      </c>
      <c r="AB17">
        <f>_xlfn.CEILING.MATH(50/(_xlfn.FLOOR.MATH(Table1[[#This Row],[damage]]*Table1[[#This Row],[range mod]]^0.1*AC$3)))</f>
        <v>1</v>
      </c>
    </row>
    <row r="18" spans="2:28" hidden="1" x14ac:dyDescent="0.45">
      <c r="B18" t="s">
        <v>31</v>
      </c>
      <c r="C18" t="s">
        <v>49</v>
      </c>
      <c r="D18">
        <v>253</v>
      </c>
      <c r="E18">
        <v>11</v>
      </c>
      <c r="F18">
        <v>0.7</v>
      </c>
      <c r="G18">
        <v>3000</v>
      </c>
      <c r="I18">
        <v>2</v>
      </c>
      <c r="J18">
        <v>30</v>
      </c>
      <c r="K18">
        <v>500</v>
      </c>
      <c r="L18">
        <v>300</v>
      </c>
      <c r="M18">
        <v>0.15</v>
      </c>
      <c r="N18">
        <v>10</v>
      </c>
      <c r="O18">
        <v>90</v>
      </c>
      <c r="P18">
        <v>3</v>
      </c>
      <c r="Q18">
        <v>20</v>
      </c>
      <c r="R18">
        <v>5</v>
      </c>
      <c r="S18">
        <v>5</v>
      </c>
      <c r="T18">
        <v>0</v>
      </c>
      <c r="U18">
        <v>0.8</v>
      </c>
      <c r="V18">
        <v>2.5</v>
      </c>
      <c r="W18">
        <v>1.5</v>
      </c>
      <c r="X18">
        <v>4</v>
      </c>
      <c r="Y18">
        <v>8.5</v>
      </c>
      <c r="Z18">
        <f>Table1[[#This Row],[damage]]/Table1[[#This Row],[cycle time]]</f>
        <v>1686.6666666666667</v>
      </c>
      <c r="AA18">
        <f>50/_xlfn.CEILING.MATH(50/(_xlfn.FLOOR.MATH(Table1[[#This Row],[damage]]*Table1[[#This Row],[range mod]]^0.1*AC$3)))/Table1[[#This Row],[cycle time]]</f>
        <v>333.33333333333337</v>
      </c>
      <c r="AB18">
        <f>_xlfn.CEILING.MATH(50/(_xlfn.FLOOR.MATH(Table1[[#This Row],[damage]]*Table1[[#This Row],[range mod]]^0.1*AC$3)))</f>
        <v>1</v>
      </c>
    </row>
    <row r="19" spans="2:28" hidden="1" x14ac:dyDescent="0.45">
      <c r="B19" t="s">
        <v>32</v>
      </c>
      <c r="C19" t="s">
        <v>49</v>
      </c>
      <c r="D19">
        <v>252</v>
      </c>
      <c r="E19">
        <v>9</v>
      </c>
      <c r="F19">
        <v>0.7</v>
      </c>
      <c r="G19">
        <v>3000</v>
      </c>
      <c r="I19">
        <v>2</v>
      </c>
      <c r="J19">
        <v>30</v>
      </c>
      <c r="K19">
        <v>500</v>
      </c>
      <c r="L19">
        <v>300</v>
      </c>
      <c r="M19">
        <v>0.15</v>
      </c>
      <c r="N19">
        <v>10</v>
      </c>
      <c r="O19">
        <v>90</v>
      </c>
      <c r="P19">
        <v>3</v>
      </c>
      <c r="Q19">
        <v>22</v>
      </c>
      <c r="R19">
        <v>5</v>
      </c>
      <c r="S19">
        <v>6</v>
      </c>
      <c r="T19">
        <v>0</v>
      </c>
      <c r="U19">
        <v>0.75</v>
      </c>
      <c r="V19">
        <v>2.5</v>
      </c>
      <c r="W19">
        <v>1.5</v>
      </c>
      <c r="X19">
        <v>3.5</v>
      </c>
      <c r="Y19">
        <v>8</v>
      </c>
      <c r="Z19">
        <f>Table1[[#This Row],[damage]]/Table1[[#This Row],[cycle time]]</f>
        <v>1680</v>
      </c>
      <c r="AA19">
        <f>50/_xlfn.CEILING.MATH(50/(_xlfn.FLOOR.MATH(Table1[[#This Row],[damage]]*Table1[[#This Row],[range mod]]^0.1*AC$3)))/Table1[[#This Row],[cycle time]]</f>
        <v>333.33333333333337</v>
      </c>
      <c r="AB19">
        <f>_xlfn.CEILING.MATH(50/(_xlfn.FLOOR.MATH(Table1[[#This Row],[damage]]*Table1[[#This Row],[range mod]]^0.1*AC$3)))</f>
        <v>1</v>
      </c>
    </row>
    <row r="20" spans="2:28" hidden="1" x14ac:dyDescent="0.45">
      <c r="B20" t="s">
        <v>37</v>
      </c>
      <c r="C20" t="s">
        <v>50</v>
      </c>
      <c r="D20">
        <v>400</v>
      </c>
      <c r="E20">
        <v>1</v>
      </c>
      <c r="F20">
        <v>0.97</v>
      </c>
      <c r="G20">
        <v>3000</v>
      </c>
      <c r="H20">
        <v>1500</v>
      </c>
      <c r="I20">
        <v>2</v>
      </c>
      <c r="J20">
        <v>50</v>
      </c>
      <c r="K20">
        <v>0</v>
      </c>
      <c r="L20">
        <v>0</v>
      </c>
      <c r="M20">
        <v>0.5</v>
      </c>
      <c r="N20">
        <v>1</v>
      </c>
      <c r="O20">
        <v>30</v>
      </c>
      <c r="P20">
        <v>1.2</v>
      </c>
      <c r="Q20">
        <v>0.75</v>
      </c>
      <c r="R20">
        <v>30</v>
      </c>
      <c r="S20">
        <v>5</v>
      </c>
      <c r="T20">
        <v>0.05</v>
      </c>
      <c r="U20">
        <v>0.4</v>
      </c>
      <c r="V20">
        <v>1.5</v>
      </c>
      <c r="W20">
        <v>5</v>
      </c>
      <c r="X20">
        <v>0</v>
      </c>
      <c r="Y20">
        <v>0</v>
      </c>
      <c r="Z20">
        <f>Table1[[#This Row],[damage]]/Table1[[#This Row],[cycle time]]</f>
        <v>800</v>
      </c>
      <c r="AA20">
        <f>50/_xlfn.CEILING.MATH(50/(_xlfn.FLOOR.MATH(Table1[[#This Row],[damage]]*Table1[[#This Row],[range mod]]^0.1*AC$3)))/Table1[[#This Row],[cycle time]]</f>
        <v>100</v>
      </c>
      <c r="AB20">
        <f>_xlfn.CEILING.MATH(50/(_xlfn.FLOOR.MATH(Table1[[#This Row],[damage]]*Table1[[#This Row],[range mod]]^0.1*AC$3)))</f>
        <v>1</v>
      </c>
    </row>
    <row r="21" spans="2:28" hidden="1" x14ac:dyDescent="0.45">
      <c r="B21" t="s">
        <v>38</v>
      </c>
      <c r="C21" t="s">
        <v>50</v>
      </c>
      <c r="D21">
        <v>50</v>
      </c>
      <c r="E21">
        <v>1</v>
      </c>
      <c r="F21">
        <v>0.97</v>
      </c>
      <c r="G21">
        <v>3000</v>
      </c>
      <c r="H21">
        <v>1500</v>
      </c>
      <c r="I21">
        <v>2</v>
      </c>
      <c r="J21">
        <v>50</v>
      </c>
      <c r="K21">
        <v>0</v>
      </c>
      <c r="L21">
        <v>0</v>
      </c>
      <c r="M21">
        <v>0.11</v>
      </c>
      <c r="N21">
        <v>150</v>
      </c>
      <c r="O21">
        <v>150</v>
      </c>
      <c r="P21">
        <v>2</v>
      </c>
      <c r="Q21">
        <v>1.6</v>
      </c>
      <c r="R21">
        <v>35</v>
      </c>
      <c r="S21">
        <v>7</v>
      </c>
      <c r="T21">
        <v>0.5</v>
      </c>
      <c r="U21">
        <v>1</v>
      </c>
      <c r="V21">
        <v>3</v>
      </c>
      <c r="W21">
        <v>6</v>
      </c>
      <c r="X21">
        <v>0</v>
      </c>
      <c r="Y21">
        <v>0</v>
      </c>
      <c r="Z21">
        <f>Table1[[#This Row],[damage]]/Table1[[#This Row],[cycle time]]</f>
        <v>454.54545454545456</v>
      </c>
      <c r="AA21">
        <f>50/_xlfn.CEILING.MATH(50/(_xlfn.FLOOR.MATH(Table1[[#This Row],[damage]]*Table1[[#This Row],[range mod]]^0.1*AC$3)))/Table1[[#This Row],[cycle time]]</f>
        <v>151.51515151515153</v>
      </c>
      <c r="AB21">
        <f>_xlfn.CEILING.MATH(50/(_xlfn.FLOOR.MATH(Table1[[#This Row],[damage]]*Table1[[#This Row],[range mod]]^0.1*AC$3)))</f>
        <v>3</v>
      </c>
    </row>
    <row r="22" spans="2:28" x14ac:dyDescent="0.45">
      <c r="D22">
        <f>GEOMEAN(D2:D21)</f>
        <v>74.660877475484313</v>
      </c>
      <c r="F22">
        <f>GEOMEAN(F2:F21)</f>
        <v>0.86089901456757834</v>
      </c>
      <c r="G22">
        <f>GEOMEAN(G2:G21)</f>
        <v>3508.7397268067666</v>
      </c>
      <c r="M22">
        <f>GEOMEAN(M2:M21)</f>
        <v>0.20054951423997677</v>
      </c>
      <c r="N22">
        <f>GEOMEAN(N2:N21)</f>
        <v>21.242148387357471</v>
      </c>
      <c r="P22">
        <f t="shared" ref="P22:W22" si="0">GEOMEAN(P2:P21)</f>
        <v>1.7499864560485037</v>
      </c>
      <c r="Q22">
        <f t="shared" si="0"/>
        <v>1.1706333197941412</v>
      </c>
      <c r="R22">
        <f t="shared" si="0"/>
        <v>18.366255521622229</v>
      </c>
      <c r="S22">
        <f t="shared" si="0"/>
        <v>5.6691815632742237</v>
      </c>
      <c r="T22" t="e">
        <f t="shared" si="0"/>
        <v>#NUM!</v>
      </c>
      <c r="U22">
        <f t="shared" si="0"/>
        <v>0.57565301743051933</v>
      </c>
      <c r="V22">
        <f t="shared" si="0"/>
        <v>1.9948630903675573</v>
      </c>
      <c r="W22">
        <f t="shared" si="0"/>
        <v>3.1906699250807447</v>
      </c>
      <c r="AB22">
        <f>SUBTOTAL(109,Table1[Shots to kill common])</f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4" ma:contentTypeDescription="Create a new document." ma:contentTypeScope="" ma:versionID="3a5d6468154f3129fcace74134d774ea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55f6975694cfb300750ebd38341a2f6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85A701-6AB1-4A94-B5F6-0EF3485315BC}">
  <ds:schemaRefs>
    <ds:schemaRef ds:uri="http://purl.org/dc/dcmitype/"/>
    <ds:schemaRef ds:uri="http://purl.org/dc/terms/"/>
    <ds:schemaRef ds:uri="08ceecc5-2daa-47f4-9f70-3b427bddc800"/>
    <ds:schemaRef ds:uri="http://purl.org/dc/elements/1.1/"/>
    <ds:schemaRef ds:uri="3bd2448e-bc80-4060-9b44-5204c1169a85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81C3DB3-2A77-47BE-B150-2CF1E81C4D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E30EA9-35E6-4B2B-90FC-547AAF77CE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2025-01-26T15:07:04Z</dcterms:created>
  <dcterms:modified xsi:type="dcterms:W3CDTF">2026-09-29T04:32:04Z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