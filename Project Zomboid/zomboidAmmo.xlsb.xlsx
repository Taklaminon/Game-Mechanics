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s\Documents\Game mechanics\repo\"/>
    </mc:Choice>
  </mc:AlternateContent>
  <xr:revisionPtr revIDLastSave="0" documentId="8_{89188416-5C76-49B2-9EB9-25E929207ECE}" xr6:coauthVersionLast="47" xr6:coauthVersionMax="47" xr10:uidLastSave="{00000000-0000-0000-0000-000000000000}"/>
  <bookViews>
    <workbookView xWindow="-98" yWindow="-98" windowWidth="19396" windowHeight="11475" xr2:uid="{FE748DD4-6AC8-4608-81C5-8F8BEC424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1" l="1"/>
  <c r="P17" i="1"/>
  <c r="P22" i="1"/>
  <c r="P18" i="1"/>
  <c r="P23" i="1"/>
  <c r="P24" i="1"/>
  <c r="P25" i="1"/>
  <c r="P26" i="1"/>
  <c r="P13" i="1"/>
  <c r="P14" i="1"/>
  <c r="P19" i="1"/>
  <c r="P20" i="1"/>
  <c r="P15" i="1"/>
  <c r="P16" i="1"/>
  <c r="M21" i="1"/>
  <c r="M17" i="1"/>
  <c r="M22" i="1"/>
  <c r="M18" i="1"/>
  <c r="M23" i="1"/>
  <c r="M24" i="1"/>
  <c r="M25" i="1"/>
  <c r="M26" i="1"/>
  <c r="M13" i="1"/>
  <c r="M14" i="1"/>
  <c r="M19" i="1"/>
  <c r="M20" i="1"/>
  <c r="M15" i="1"/>
  <c r="M16" i="1"/>
  <c r="I9" i="1"/>
  <c r="F2" i="1"/>
  <c r="G2" i="1" s="1"/>
  <c r="F4" i="1"/>
  <c r="G4" i="1" s="1"/>
  <c r="F5" i="1"/>
  <c r="G5" i="1" s="1"/>
  <c r="F3" i="1"/>
  <c r="G3" i="1" s="1"/>
  <c r="F6" i="1"/>
  <c r="G6" i="1" s="1"/>
  <c r="F7" i="1"/>
  <c r="G7" i="1" s="1"/>
  <c r="F8" i="1"/>
  <c r="G8" i="1" s="1"/>
  <c r="F9" i="1"/>
  <c r="G9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<sst xmlns="http://schemas.openxmlformats.org/spreadsheetml/2006/main" count="76" uniqueCount="62">
  <si>
    <t>Icon</t>
  </si>
  <si>
    <t>Name</t>
  </si>
  <si>
    <t>9mm Round</t>
  </si>
  <si>
    <t>.223 Round</t>
  </si>
  <si>
    <t>.308 Round</t>
  </si>
  <si>
    <t>.38 Special Round</t>
  </si>
  <si>
    <t>5.56mm Round</t>
  </si>
  <si>
    <t>.44 Magnum Round</t>
  </si>
  <si>
    <t>.45 Auto Round</t>
  </si>
  <si>
    <t>Shotgun Shells</t>
  </si>
  <si>
    <t>Encumbrance</t>
  </si>
  <si>
    <t>Stack Encumbrance</t>
  </si>
  <si>
    <t>Stack Size</t>
  </si>
  <si>
    <t>Boxed encumbrance</t>
  </si>
  <si>
    <t>Box ratio</t>
  </si>
  <si>
    <t>Item ID</t>
  </si>
  <si>
    <t>D-E Pistol</t>
  </si>
  <si>
    <t>1H</t>
  </si>
  <si>
    <t>Base.Pistol3</t>
  </si>
  <si>
    <t>M1911 Pistol</t>
  </si>
  <si>
    <t>Base.Pistol2</t>
  </si>
  <si>
    <t>M36 Revolver</t>
  </si>
  <si>
    <t>Base.Revolver_Short</t>
  </si>
  <si>
    <t>M625 Revolver</t>
  </si>
  <si>
    <t>Base.Revolver</t>
  </si>
  <si>
    <t>M9 Pistol</t>
  </si>
  <si>
    <t>Base.Pistol</t>
  </si>
  <si>
    <t>Magnum</t>
  </si>
  <si>
    <t>Base.Revolver_Long</t>
  </si>
  <si>
    <t>Double Barrel Shotgun</t>
  </si>
  <si>
    <t>2H</t>
  </si>
  <si>
    <t>Base.DoubleBarrelShotgun</t>
  </si>
  <si>
    <t>JS-2000 Shotgun</t>
  </si>
  <si>
    <t>Base.Shotgun</t>
  </si>
  <si>
    <t>Sawed-off Double Barrel Shotgun</t>
  </si>
  <si>
    <t>Base.DoubleBarrelShotgunSawnoff</t>
  </si>
  <si>
    <t>Sawed-off JS-2000 Shotgun</t>
  </si>
  <si>
    <t>Base.ShotgunSawnoff</t>
  </si>
  <si>
    <t>M14 Rifle</t>
  </si>
  <si>
    <t>Base.AssaultRifle2</t>
  </si>
  <si>
    <t>M16 Assault Rifle</t>
  </si>
  <si>
    <t>Base.AssaultRifle</t>
  </si>
  <si>
    <t>MSR700 Rifle</t>
  </si>
  <si>
    <t>Base.VarmintRifle</t>
  </si>
  <si>
    <t>MSR788 Rifle</t>
  </si>
  <si>
    <t>Base.HuntingRifle</t>
  </si>
  <si>
    <t>Equipped</t>
  </si>
  <si>
    <t>Ammunition</t>
  </si>
  <si>
    <t>Magazine capacity</t>
  </si>
  <si>
    <t>Minimum damage</t>
  </si>
  <si>
    <t>Maximum damage</t>
  </si>
  <si>
    <t>Minimum range</t>
  </si>
  <si>
    <t>Maximum range</t>
  </si>
  <si>
    <t>Accuracy</t>
  </si>
  <si>
    <t>Accuracy increased per aiming level</t>
  </si>
  <si>
    <t>Critical hit chance</t>
  </si>
  <si>
    <t>Critical hit chance increased per aiming level</t>
  </si>
  <si>
    <t>Noise radius</t>
  </si>
  <si>
    <t>Knockback</t>
  </si>
  <si>
    <t>Repairable</t>
  </si>
  <si>
    <t>Max Acc</t>
  </si>
  <si>
    <t>Max 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</si>
</sst>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rgb="FFBFCED9"/>
      <name val="Arial"/>
      <family val="2"/>
    </font>
    <font>
      <sz val="10"/>
      <color rgb="FFBFCED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0151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2" fillId="2" borderId="0" xfId="1" applyFill="1" applyAlignment="1">
      <alignment vertical="center"/>
    </xf>
    <xf numFmtId="9" fontId="5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BFCED9"/>
        <name val="Consolas"/>
        <family val="3"/>
        <scheme val="none"/>
      </font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numFmt numFmtId="13" formatCode="0%"/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numFmt numFmtId="13" formatCode="0%"/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numFmt numFmtId="13" formatCode="0%"/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numFmt numFmtId="13" formatCode="0%"/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numFmt numFmtId="13" formatCode="0%"/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numFmt numFmtId="13" formatCode="0%"/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FCED9"/>
        <name val="Arial"/>
        <family val="2"/>
        <scheme val="none"/>
      </font>
      <fill>
        <patternFill patternType="solid">
          <fgColor indexed="64"/>
          <bgColor rgb="FF10151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01518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1">
    <v>4</v>
    <v>5</v>
    <v>Repairable</v>
  </rv>
  <rv s="1">
    <v>5</v>
    <v>5</v>
    <v>Not repairable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5170A9-C294-40F2-81FF-918BBF8DBA0B}" name="Table1" displayName="Table1" ref="A1:G9" totalsRowShown="0" headerRowDxfId="27">
  <autoFilter ref="A1:G9" xr:uid="{695170A9-C294-40F2-81FF-918BBF8DBA0B}"/>
  <sortState xmlns:xlrd2="http://schemas.microsoft.com/office/spreadsheetml/2017/richdata2" ref="A2:G9">
    <sortCondition ref="F1:F9"/>
  </sortState>
  <tableColumns count="7">
    <tableColumn id="1" xr3:uid="{C1728CE7-97AF-40D2-B10D-6248AE331589}" name="Icon" dataDxfId="26"/>
    <tableColumn id="2" xr3:uid="{5DBF4F0D-9D58-4531-83BB-95D172EF4A90}" name="Name" dataDxfId="25" dataCellStyle="Hyperlink"/>
    <tableColumn id="3" xr3:uid="{6358D4D7-B944-4E54-9474-C6ECA679EAE3}" name="Encumbrance" dataDxfId="24"/>
    <tableColumn id="4" xr3:uid="{8E0C987B-48C9-4C42-BD9E-522315EC1995}" name="Stack Encumbrance" dataDxfId="23"/>
    <tableColumn id="5" xr3:uid="{6312B8C4-154E-411F-9312-F65A44BC347C}" name="Stack Size"/>
    <tableColumn id="6" xr3:uid="{C3622376-3919-4E28-92E1-C1D57C393A5F}" name="Boxed encumbrance" dataDxfId="22">
      <calculatedColumnFormula>Table1[[#This Row],[Stack Encumbrance]]/Table1[[#This Row],[Stack Size]]</calculatedColumnFormula>
    </tableColumn>
    <tableColumn id="7" xr3:uid="{5614CA5A-39AA-42C6-ACEC-D685D543A0C4}" name="Box ratio" dataDxfId="21">
      <calculatedColumnFormula>Table1[[#This Row],[Boxed encumbrance]]/Table1[[#This Row],[Encumbrance]]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B4D65C-B940-4848-A3D1-063CFA2758AA}" name="Table3" displayName="Table3" ref="B12:T26" totalsRowShown="0" headerRowDxfId="20" dataDxfId="19">
  <autoFilter ref="B12:T26" xr:uid="{15B4D65C-B940-4848-A3D1-063CFA2758AA}"/>
  <sortState xmlns:xlrd2="http://schemas.microsoft.com/office/spreadsheetml/2017/richdata2" ref="B13:T26">
    <sortCondition descending="1" ref="P12:P26"/>
  </sortState>
  <tableColumns count="19">
    <tableColumn id="1" xr3:uid="{811E3A39-E733-445C-9967-0B56E736A491}" name="Name" dataDxfId="18" dataCellStyle="Hyperlink"/>
    <tableColumn id="2" xr3:uid="{0D3D880C-501B-41EF-9CD3-CE8CE11A0995}" name="Encumbrance" dataDxfId="17"/>
    <tableColumn id="3" xr3:uid="{44230EB6-8242-4290-9A84-A0263E77CA74}" name="Equipped" dataDxfId="16"/>
    <tableColumn id="4" xr3:uid="{74802CAE-4E3B-4969-8B41-93D39AB2E3FB}" name="Ammunition" dataDxfId="15"/>
    <tableColumn id="5" xr3:uid="{15F715F5-358F-4251-AC10-08231E445AD6}" name="Magazine capacity" dataDxfId="14"/>
    <tableColumn id="6" xr3:uid="{50014486-CF47-45FA-846D-2EBE4848655F}" name="Minimum damage" dataDxfId="13"/>
    <tableColumn id="7" xr3:uid="{DEAC7F1A-2AFF-4F42-B561-279124110702}" name="Maximum damage" dataDxfId="12"/>
    <tableColumn id="8" xr3:uid="{E6EE7F12-EDAD-479A-A5B3-BFB86C227E3E}" name="Minimum range" dataDxfId="11"/>
    <tableColumn id="9" xr3:uid="{2B095622-5507-40B9-B20B-9241D9819A20}" name="Maximum range" dataDxfId="10"/>
    <tableColumn id="10" xr3:uid="{868B5BC6-842A-4CD7-8AD6-D6F29CEDE036}" name="Accuracy" dataDxfId="9"/>
    <tableColumn id="11" xr3:uid="{524AED3D-09EA-463E-A4DA-C48562CC1494}" name="Accuracy increased per aiming level" dataDxfId="8"/>
    <tableColumn id="18" xr3:uid="{672536F5-EEC7-44B8-A472-828030ADBA5C}" name="Max Acc" dataDxfId="7">
      <calculatedColumnFormula>Table3[[#This Row],[Accuracy]]+Table3[[#This Row],[Accuracy increased per aiming level]]*10</calculatedColumnFormula>
    </tableColumn>
    <tableColumn id="12" xr3:uid="{15EF7A92-A2CB-4164-B001-A914EBDC2EC6}" name="Critical hit chance" dataDxfId="6"/>
    <tableColumn id="13" xr3:uid="{A6A5617A-596E-4E07-BE4E-25282AC0AA7B}" name="Critical hit chance increased per aiming level" dataDxfId="5"/>
    <tableColumn id="19" xr3:uid="{1C534A10-6DAA-40BE-987F-88ADBFF18DE6}" name="Max Crit" dataDxfId="4">
      <calculatedColumnFormula>Table3[[#This Row],[Critical hit chance]]+Table3[[#This Row],[Critical hit chance increased per aiming level]]*5</calculatedColumnFormula>
    </tableColumn>
    <tableColumn id="14" xr3:uid="{BBF7658A-291A-436F-BF16-BE34346C9764}" name="Noise radius" dataDxfId="3"/>
    <tableColumn id="15" xr3:uid="{2C3F91B2-4C27-4F58-86A2-2D02ABB461FF}" name="Knockback" dataDxfId="2"/>
    <tableColumn id="16" xr3:uid="{12082EC2-99A1-4CA2-BC97-B541D0101C94}" name="Repairable" dataDxfId="1"/>
    <tableColumn id="17" xr3:uid="{08DAEDB9-E37F-41BC-80EB-EF940CD219FB}" name="Item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zwiki.net/wiki/Shotgun_Shells" TargetMode="External"/><Relationship Id="rId13" Type="http://schemas.openxmlformats.org/officeDocument/2006/relationships/hyperlink" Target="https://pzwiki.net/wiki/M9_Pistol" TargetMode="External"/><Relationship Id="rId18" Type="http://schemas.openxmlformats.org/officeDocument/2006/relationships/hyperlink" Target="https://pzwiki.net/wiki/Sawed-off_JS-2000_Shotgun" TargetMode="External"/><Relationship Id="rId3" Type="http://schemas.openxmlformats.org/officeDocument/2006/relationships/hyperlink" Target="https://pzwiki.net/wiki/.308_Round" TargetMode="External"/><Relationship Id="rId21" Type="http://schemas.openxmlformats.org/officeDocument/2006/relationships/hyperlink" Target="https://pzwiki.net/wiki/MSR700_Rifle" TargetMode="External"/><Relationship Id="rId7" Type="http://schemas.openxmlformats.org/officeDocument/2006/relationships/hyperlink" Target="https://pzwiki.net/wiki/.45_Auto_Round" TargetMode="External"/><Relationship Id="rId12" Type="http://schemas.openxmlformats.org/officeDocument/2006/relationships/hyperlink" Target="https://pzwiki.net/wiki/M625_Revolver" TargetMode="External"/><Relationship Id="rId17" Type="http://schemas.openxmlformats.org/officeDocument/2006/relationships/hyperlink" Target="https://pzwiki.net/wiki/Sawed-off_Double_Barrel_Shotgun" TargetMode="External"/><Relationship Id="rId25" Type="http://schemas.openxmlformats.org/officeDocument/2006/relationships/table" Target="../tables/table2.xml"/><Relationship Id="rId2" Type="http://schemas.openxmlformats.org/officeDocument/2006/relationships/hyperlink" Target="https://pzwiki.net/wiki/.223_Round" TargetMode="External"/><Relationship Id="rId16" Type="http://schemas.openxmlformats.org/officeDocument/2006/relationships/hyperlink" Target="https://pzwiki.net/wiki/JS-2000_Shotgun" TargetMode="External"/><Relationship Id="rId20" Type="http://schemas.openxmlformats.org/officeDocument/2006/relationships/hyperlink" Target="https://pzwiki.net/wiki/M16_Assault_Rifle" TargetMode="External"/><Relationship Id="rId1" Type="http://schemas.openxmlformats.org/officeDocument/2006/relationships/hyperlink" Target="https://pzwiki.net/wiki/9mm_Round" TargetMode="External"/><Relationship Id="rId6" Type="http://schemas.openxmlformats.org/officeDocument/2006/relationships/hyperlink" Target="https://pzwiki.net/wiki/.44_Magnum_Round" TargetMode="External"/><Relationship Id="rId11" Type="http://schemas.openxmlformats.org/officeDocument/2006/relationships/hyperlink" Target="https://pzwiki.net/wiki/M36_Revolver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pzwiki.net/wiki/5.56mm_Round" TargetMode="External"/><Relationship Id="rId15" Type="http://schemas.openxmlformats.org/officeDocument/2006/relationships/hyperlink" Target="https://pzwiki.net/wiki/Double_Barrel_Shotgun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pzwiki.net/wiki/M1911_Pistol" TargetMode="External"/><Relationship Id="rId19" Type="http://schemas.openxmlformats.org/officeDocument/2006/relationships/hyperlink" Target="https://pzwiki.net/wiki/M14_Rifle" TargetMode="External"/><Relationship Id="rId4" Type="http://schemas.openxmlformats.org/officeDocument/2006/relationships/hyperlink" Target="https://pzwiki.net/wiki/.38_Special_Round" TargetMode="External"/><Relationship Id="rId9" Type="http://schemas.openxmlformats.org/officeDocument/2006/relationships/hyperlink" Target="https://pzwiki.net/wiki/D-E_Pistol" TargetMode="External"/><Relationship Id="rId14" Type="http://schemas.openxmlformats.org/officeDocument/2006/relationships/hyperlink" Target="https://pzwiki.net/wiki/Magnum" TargetMode="External"/><Relationship Id="rId22" Type="http://schemas.openxmlformats.org/officeDocument/2006/relationships/hyperlink" Target="https://pzwiki.net/wiki/MSR788_Rif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BA5D-617A-462B-9A3C-81545EE3A517}">
  <dimension ref="A1:T26"/>
  <sheetViews>
    <sheetView tabSelected="1" zoomScaleNormal="100" workbookViewId="0">
      <selection activeCell="E12" sqref="E12"/>
    </sheetView>
  </sheetViews>
  <sheetFormatPr defaultColWidth="14.59765625" defaultRowHeight="14.25" x14ac:dyDescent="0.45"/>
  <cols>
    <col min="1" max="1" width="9.3984375" bestFit="1" customWidth="1"/>
    <col min="2" max="2" width="30.3984375" bestFit="1" customWidth="1"/>
    <col min="3" max="3" width="19.59765625" bestFit="1" customWidth="1"/>
    <col min="4" max="4" width="23.3984375" bestFit="1" customWidth="1"/>
    <col min="5" max="5" width="17.265625" bestFit="1" customWidth="1"/>
    <col min="6" max="6" width="24.265625" bestFit="1" customWidth="1"/>
    <col min="7" max="7" width="23.265625" bestFit="1" customWidth="1"/>
    <col min="8" max="8" width="23.73046875" bestFit="1" customWidth="1"/>
    <col min="9" max="9" width="21.1328125" bestFit="1" customWidth="1"/>
    <col min="10" max="10" width="21.59765625" bestFit="1" customWidth="1"/>
    <col min="11" max="11" width="14.59765625" bestFit="1" customWidth="1"/>
    <col min="12" max="12" width="42.86328125" bestFit="1" customWidth="1"/>
    <col min="13" max="13" width="13.86328125" bestFit="1" customWidth="1"/>
    <col min="14" max="14" width="24" bestFit="1" customWidth="1"/>
    <col min="15" max="15" width="52.265625" bestFit="1" customWidth="1"/>
    <col min="16" max="16" width="14" bestFit="1" customWidth="1"/>
    <col min="17" max="17" width="18.3984375" bestFit="1" customWidth="1"/>
    <col min="18" max="18" width="16.73046875" bestFit="1" customWidth="1"/>
    <col min="19" max="19" width="16.59765625" bestFit="1" customWidth="1"/>
    <col min="20" max="20" width="32.73046875" bestFit="1" customWidth="1"/>
  </cols>
  <sheetData>
    <row r="1" spans="1:20" x14ac:dyDescent="0.45">
      <c r="A1" s="4" t="s">
        <v>0</v>
      </c>
      <c r="B1" s="4" t="s">
        <v>1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</row>
    <row r="2" spans="1:20" x14ac:dyDescent="0.45">
      <c r="A2" s="1" t="e" vm="1">
        <v>#VALUE!</v>
      </c>
      <c r="B2" s="2" t="s">
        <v>2</v>
      </c>
      <c r="C2" s="1">
        <v>0.01</v>
      </c>
      <c r="D2" s="3">
        <v>0.2</v>
      </c>
      <c r="E2">
        <v>30</v>
      </c>
      <c r="F2">
        <f>Table1[[#This Row],[Stack Encumbrance]]/Table1[[#This Row],[Stack Size]]</f>
        <v>6.6666666666666671E-3</v>
      </c>
      <c r="G2">
        <f>Table1[[#This Row],[Boxed encumbrance]]/Table1[[#This Row],[Encumbrance]]</f>
        <v>0.66666666666666674</v>
      </c>
    </row>
    <row r="3" spans="1:20" x14ac:dyDescent="0.45">
      <c r="A3" s="1" t="e" vm="1">
        <v>#VALUE!</v>
      </c>
      <c r="B3" s="2" t="s">
        <v>5</v>
      </c>
      <c r="C3" s="1">
        <v>0.02</v>
      </c>
      <c r="D3" s="3">
        <v>0.35</v>
      </c>
      <c r="E3">
        <v>30</v>
      </c>
      <c r="F3">
        <f>Table1[[#This Row],[Stack Encumbrance]]/Table1[[#This Row],[Stack Size]]</f>
        <v>1.1666666666666665E-2</v>
      </c>
      <c r="G3">
        <f>Table1[[#This Row],[Boxed encumbrance]]/Table1[[#This Row],[Encumbrance]]</f>
        <v>0.58333333333333326</v>
      </c>
    </row>
    <row r="4" spans="1:20" x14ac:dyDescent="0.45">
      <c r="A4" s="1" t="e" vm="2">
        <v>#VALUE!</v>
      </c>
      <c r="B4" s="2" t="s">
        <v>3</v>
      </c>
      <c r="C4" s="1">
        <v>0.02</v>
      </c>
      <c r="D4" s="3">
        <v>0.6</v>
      </c>
      <c r="E4">
        <v>40</v>
      </c>
      <c r="F4">
        <f>Table1[[#This Row],[Stack Encumbrance]]/Table1[[#This Row],[Stack Size]]</f>
        <v>1.4999999999999999E-2</v>
      </c>
      <c r="G4">
        <f>Table1[[#This Row],[Boxed encumbrance]]/Table1[[#This Row],[Encumbrance]]</f>
        <v>0.75</v>
      </c>
    </row>
    <row r="5" spans="1:20" x14ac:dyDescent="0.45">
      <c r="A5" s="1" t="e" vm="3">
        <v>#VALUE!</v>
      </c>
      <c r="B5" s="2" t="s">
        <v>4</v>
      </c>
      <c r="C5" s="1">
        <v>0.02</v>
      </c>
      <c r="D5" s="3">
        <v>0.6</v>
      </c>
      <c r="E5">
        <v>40</v>
      </c>
      <c r="F5">
        <f>Table1[[#This Row],[Stack Encumbrance]]/Table1[[#This Row],[Stack Size]]</f>
        <v>1.4999999999999999E-2</v>
      </c>
      <c r="G5">
        <f>Table1[[#This Row],[Boxed encumbrance]]/Table1[[#This Row],[Encumbrance]]</f>
        <v>0.75</v>
      </c>
    </row>
    <row r="6" spans="1:20" x14ac:dyDescent="0.45">
      <c r="A6" s="1" t="e" vm="3">
        <v>#VALUE!</v>
      </c>
      <c r="B6" s="2" t="s">
        <v>6</v>
      </c>
      <c r="C6" s="1">
        <v>0.03</v>
      </c>
      <c r="D6" s="3">
        <v>1.2</v>
      </c>
      <c r="E6">
        <v>60</v>
      </c>
      <c r="F6">
        <f>Table1[[#This Row],[Stack Encumbrance]]/Table1[[#This Row],[Stack Size]]</f>
        <v>0.02</v>
      </c>
      <c r="G6">
        <f>Table1[[#This Row],[Boxed encumbrance]]/Table1[[#This Row],[Encumbrance]]</f>
        <v>0.66666666666666674</v>
      </c>
    </row>
    <row r="7" spans="1:20" x14ac:dyDescent="0.45">
      <c r="A7" s="1" t="e" vm="1">
        <v>#VALUE!</v>
      </c>
      <c r="B7" s="2" t="s">
        <v>7</v>
      </c>
      <c r="C7" s="1">
        <v>0.04</v>
      </c>
      <c r="D7" s="3">
        <v>0.38</v>
      </c>
      <c r="E7">
        <v>12</v>
      </c>
      <c r="F7">
        <f>Table1[[#This Row],[Stack Encumbrance]]/Table1[[#This Row],[Stack Size]]</f>
        <v>3.1666666666666669E-2</v>
      </c>
      <c r="G7">
        <f>Table1[[#This Row],[Boxed encumbrance]]/Table1[[#This Row],[Encumbrance]]</f>
        <v>0.79166666666666674</v>
      </c>
    </row>
    <row r="8" spans="1:20" x14ac:dyDescent="0.45">
      <c r="A8" s="1" t="e" vm="1">
        <v>#VALUE!</v>
      </c>
      <c r="B8" s="2" t="s">
        <v>8</v>
      </c>
      <c r="C8" s="1">
        <v>0.04</v>
      </c>
      <c r="D8" s="3">
        <v>1</v>
      </c>
      <c r="E8">
        <v>30</v>
      </c>
      <c r="F8">
        <f>Table1[[#This Row],[Stack Encumbrance]]/Table1[[#This Row],[Stack Size]]</f>
        <v>3.3333333333333333E-2</v>
      </c>
      <c r="G8">
        <f>Table1[[#This Row],[Boxed encumbrance]]/Table1[[#This Row],[Encumbrance]]</f>
        <v>0.83333333333333326</v>
      </c>
    </row>
    <row r="9" spans="1:20" x14ac:dyDescent="0.45">
      <c r="A9" s="1" t="e" vm="4">
        <v>#VALUE!</v>
      </c>
      <c r="B9" s="2" t="s">
        <v>9</v>
      </c>
      <c r="C9" s="1">
        <v>0.05</v>
      </c>
      <c r="D9" s="3">
        <v>0.9</v>
      </c>
      <c r="E9">
        <v>24</v>
      </c>
      <c r="F9">
        <f>Table1[[#This Row],[Stack Encumbrance]]/Table1[[#This Row],[Stack Size]]</f>
        <v>3.7499999999999999E-2</v>
      </c>
      <c r="G9">
        <f>Table1[[#This Row],[Boxed encumbrance]]/Table1[[#This Row],[Encumbrance]]</f>
        <v>0.74999999999999989</v>
      </c>
      <c r="I9">
        <f>0.0375/0.006666666666</f>
        <v>5.6250000005625003</v>
      </c>
    </row>
    <row r="12" spans="1:20" x14ac:dyDescent="0.45">
      <c r="A12" s="5"/>
      <c r="B12" s="5" t="s">
        <v>1</v>
      </c>
      <c r="C12" s="5" t="s">
        <v>10</v>
      </c>
      <c r="D12" s="5" t="s">
        <v>46</v>
      </c>
      <c r="E12" s="5" t="s">
        <v>47</v>
      </c>
      <c r="F12" s="5" t="s">
        <v>48</v>
      </c>
      <c r="G12" s="5" t="s">
        <v>49</v>
      </c>
      <c r="H12" s="5" t="s">
        <v>50</v>
      </c>
      <c r="I12" s="5" t="s">
        <v>51</v>
      </c>
      <c r="J12" s="5" t="s">
        <v>52</v>
      </c>
      <c r="K12" s="5" t="s">
        <v>53</v>
      </c>
      <c r="L12" s="5" t="s">
        <v>54</v>
      </c>
      <c r="M12" s="5" t="s">
        <v>60</v>
      </c>
      <c r="N12" s="5" t="s">
        <v>55</v>
      </c>
      <c r="O12" s="5" t="s">
        <v>56</v>
      </c>
      <c r="P12" s="5" t="s">
        <v>61</v>
      </c>
      <c r="Q12" s="5" t="s">
        <v>57</v>
      </c>
      <c r="R12" s="5" t="s">
        <v>58</v>
      </c>
      <c r="S12" s="5" t="s">
        <v>59</v>
      </c>
      <c r="T12" s="5" t="s">
        <v>15</v>
      </c>
    </row>
    <row r="13" spans="1:20" x14ac:dyDescent="0.45">
      <c r="A13" s="6"/>
      <c r="B13" s="7" t="s">
        <v>38</v>
      </c>
      <c r="C13" s="6">
        <v>4</v>
      </c>
      <c r="D13" s="6" t="s">
        <v>30</v>
      </c>
      <c r="E13" s="6" t="e" vm="3">
        <v>#VALUE!</v>
      </c>
      <c r="F13" s="6">
        <v>20</v>
      </c>
      <c r="G13" s="6">
        <v>1.2</v>
      </c>
      <c r="H13" s="6">
        <v>2</v>
      </c>
      <c r="I13" s="6">
        <v>0.61</v>
      </c>
      <c r="J13" s="6">
        <v>10</v>
      </c>
      <c r="K13" s="8">
        <v>0.5</v>
      </c>
      <c r="L13" s="8">
        <v>0.05</v>
      </c>
      <c r="M13" s="8">
        <f>Table3[[#This Row],[Accuracy]]+Table3[[#This Row],[Accuracy increased per aiming level]]*10</f>
        <v>1</v>
      </c>
      <c r="N13" s="8">
        <v>0.3</v>
      </c>
      <c r="O13" s="8">
        <v>0.15</v>
      </c>
      <c r="P13" s="8">
        <f>Table3[[#This Row],[Critical hit chance]]+Table3[[#This Row],[Critical hit chance increased per aiming level]]*5</f>
        <v>1.05</v>
      </c>
      <c r="Q13" s="6">
        <v>70</v>
      </c>
      <c r="R13" s="6">
        <v>0.3</v>
      </c>
      <c r="S13" s="6" t="e" vm="5">
        <v>#VALUE!</v>
      </c>
      <c r="T13" s="9" t="s">
        <v>39</v>
      </c>
    </row>
    <row r="14" spans="1:20" x14ac:dyDescent="0.45">
      <c r="A14" s="6"/>
      <c r="B14" s="7" t="s">
        <v>44</v>
      </c>
      <c r="C14" s="6">
        <v>4</v>
      </c>
      <c r="D14" s="6" t="s">
        <v>30</v>
      </c>
      <c r="E14" s="6" t="e" vm="3">
        <v>#VALUE!</v>
      </c>
      <c r="F14" s="6">
        <v>3</v>
      </c>
      <c r="G14" s="6">
        <v>1.2</v>
      </c>
      <c r="H14" s="6">
        <v>2</v>
      </c>
      <c r="I14" s="6">
        <v>0.61</v>
      </c>
      <c r="J14" s="6">
        <v>10</v>
      </c>
      <c r="K14" s="8">
        <v>0.25</v>
      </c>
      <c r="L14" s="8">
        <v>0.15</v>
      </c>
      <c r="M14" s="8">
        <f>Table3[[#This Row],[Accuracy]]+Table3[[#This Row],[Accuracy increased per aiming level]]*10</f>
        <v>1.75</v>
      </c>
      <c r="N14" s="8">
        <v>0.3</v>
      </c>
      <c r="O14" s="8">
        <v>0.15</v>
      </c>
      <c r="P14" s="8">
        <f>Table3[[#This Row],[Critical hit chance]]+Table3[[#This Row],[Critical hit chance increased per aiming level]]*5</f>
        <v>1.05</v>
      </c>
      <c r="Q14" s="6">
        <v>70</v>
      </c>
      <c r="R14" s="6">
        <v>0.3</v>
      </c>
      <c r="S14" s="6" t="e" vm="5">
        <v>#VALUE!</v>
      </c>
      <c r="T14" s="9" t="s">
        <v>45</v>
      </c>
    </row>
    <row r="15" spans="1:20" x14ac:dyDescent="0.45">
      <c r="A15" s="6"/>
      <c r="B15" s="7" t="s">
        <v>29</v>
      </c>
      <c r="C15" s="6">
        <v>4</v>
      </c>
      <c r="D15" s="6" t="s">
        <v>30</v>
      </c>
      <c r="E15" s="6" t="e" vm="4">
        <v>#VALUE!</v>
      </c>
      <c r="F15" s="6">
        <v>2</v>
      </c>
      <c r="G15" s="6">
        <v>2</v>
      </c>
      <c r="H15" s="6">
        <v>2.7</v>
      </c>
      <c r="I15" s="6">
        <v>0.67</v>
      </c>
      <c r="J15" s="6">
        <v>9</v>
      </c>
      <c r="K15" s="8">
        <v>0.8</v>
      </c>
      <c r="L15" s="8">
        <v>0.05</v>
      </c>
      <c r="M15" s="8">
        <f>Table3[[#This Row],[Accuracy]]+Table3[[#This Row],[Accuracy increased per aiming level]]*10</f>
        <v>1.3</v>
      </c>
      <c r="N15" s="8">
        <v>0.8</v>
      </c>
      <c r="O15" s="8">
        <v>0.04</v>
      </c>
      <c r="P15" s="8">
        <f>Table3[[#This Row],[Critical hit chance]]+Table3[[#This Row],[Critical hit chance increased per aiming level]]*5</f>
        <v>1</v>
      </c>
      <c r="Q15" s="6">
        <v>100</v>
      </c>
      <c r="R15" s="6">
        <v>0.8</v>
      </c>
      <c r="S15" s="6" t="e" vm="5">
        <v>#VALUE!</v>
      </c>
      <c r="T15" s="9" t="s">
        <v>31</v>
      </c>
    </row>
    <row r="16" spans="1:20" x14ac:dyDescent="0.45">
      <c r="A16" s="6"/>
      <c r="B16" s="7" t="s">
        <v>34</v>
      </c>
      <c r="C16" s="6">
        <v>3.5</v>
      </c>
      <c r="D16" s="6" t="s">
        <v>30</v>
      </c>
      <c r="E16" s="6" t="e" vm="4">
        <v>#VALUE!</v>
      </c>
      <c r="F16" s="6">
        <v>2</v>
      </c>
      <c r="G16" s="6">
        <v>2</v>
      </c>
      <c r="H16" s="6">
        <v>2.7</v>
      </c>
      <c r="I16" s="6">
        <v>0.67</v>
      </c>
      <c r="J16" s="6">
        <v>8</v>
      </c>
      <c r="K16" s="8">
        <v>0.8</v>
      </c>
      <c r="L16" s="8">
        <v>0.05</v>
      </c>
      <c r="M16" s="8">
        <f>Table3[[#This Row],[Accuracy]]+Table3[[#This Row],[Accuracy increased per aiming level]]*10</f>
        <v>1.3</v>
      </c>
      <c r="N16" s="8">
        <v>0.8</v>
      </c>
      <c r="O16" s="8">
        <v>0.04</v>
      </c>
      <c r="P16" s="8">
        <f>Table3[[#This Row],[Critical hit chance]]+Table3[[#This Row],[Critical hit chance increased per aiming level]]*5</f>
        <v>1</v>
      </c>
      <c r="Q16" s="6">
        <v>100</v>
      </c>
      <c r="R16" s="6">
        <v>0.8</v>
      </c>
      <c r="S16" s="6" t="e" vm="6">
        <v>#VALUE!</v>
      </c>
      <c r="T16" s="9" t="s">
        <v>35</v>
      </c>
    </row>
    <row r="17" spans="1:20" x14ac:dyDescent="0.45">
      <c r="A17" s="6"/>
      <c r="B17" s="7" t="s">
        <v>42</v>
      </c>
      <c r="C17" s="6">
        <v>4</v>
      </c>
      <c r="D17" s="6" t="s">
        <v>30</v>
      </c>
      <c r="E17" s="6" t="e" vm="2">
        <v>#VALUE!</v>
      </c>
      <c r="F17" s="6">
        <v>3</v>
      </c>
      <c r="G17" s="6">
        <v>0.6</v>
      </c>
      <c r="H17" s="6">
        <v>1.3</v>
      </c>
      <c r="I17" s="6">
        <v>0.61</v>
      </c>
      <c r="J17" s="6">
        <v>10</v>
      </c>
      <c r="K17" s="8">
        <v>0.27</v>
      </c>
      <c r="L17" s="8">
        <v>0.17</v>
      </c>
      <c r="M17" s="8">
        <f>Table3[[#This Row],[Accuracy]]+Table3[[#This Row],[Accuracy increased per aiming level]]*10</f>
        <v>1.9700000000000002</v>
      </c>
      <c r="N17" s="8">
        <v>0.25</v>
      </c>
      <c r="O17" s="8">
        <v>0.12</v>
      </c>
      <c r="P17" s="8">
        <f>Table3[[#This Row],[Critical hit chance]]+Table3[[#This Row],[Critical hit chance increased per aiming level]]*5</f>
        <v>0.85</v>
      </c>
      <c r="Q17" s="6">
        <v>70</v>
      </c>
      <c r="R17" s="6">
        <v>0.3</v>
      </c>
      <c r="S17" s="6" t="e" vm="5">
        <v>#VALUE!</v>
      </c>
      <c r="T17" s="9" t="s">
        <v>43</v>
      </c>
    </row>
    <row r="18" spans="1:20" x14ac:dyDescent="0.45">
      <c r="A18" s="6"/>
      <c r="B18" s="7" t="s">
        <v>40</v>
      </c>
      <c r="C18" s="6">
        <v>4</v>
      </c>
      <c r="D18" s="6" t="s">
        <v>30</v>
      </c>
      <c r="E18" s="6" t="e" vm="3">
        <v>#VALUE!</v>
      </c>
      <c r="F18" s="6">
        <v>30</v>
      </c>
      <c r="G18" s="6">
        <v>0.8</v>
      </c>
      <c r="H18" s="6">
        <v>1.4</v>
      </c>
      <c r="I18" s="6">
        <v>0.61</v>
      </c>
      <c r="J18" s="6">
        <v>11</v>
      </c>
      <c r="K18" s="8">
        <v>0.2</v>
      </c>
      <c r="L18" s="8">
        <v>7.0000000000000007E-2</v>
      </c>
      <c r="M18" s="8">
        <f>Table3[[#This Row],[Accuracy]]+Table3[[#This Row],[Accuracy increased per aiming level]]*10</f>
        <v>0.90000000000000013</v>
      </c>
      <c r="N18" s="8">
        <v>0.25</v>
      </c>
      <c r="O18" s="8">
        <v>0.12</v>
      </c>
      <c r="P18" s="8">
        <f>Table3[[#This Row],[Critical hit chance]]+Table3[[#This Row],[Critical hit chance increased per aiming level]]*5</f>
        <v>0.85</v>
      </c>
      <c r="Q18" s="6">
        <v>70</v>
      </c>
      <c r="R18" s="6">
        <v>0.3</v>
      </c>
      <c r="S18" s="6" t="e" vm="5">
        <v>#VALUE!</v>
      </c>
      <c r="T18" s="9" t="s">
        <v>41</v>
      </c>
    </row>
    <row r="19" spans="1:20" x14ac:dyDescent="0.45">
      <c r="A19" s="6"/>
      <c r="B19" s="7" t="s">
        <v>32</v>
      </c>
      <c r="C19" s="6">
        <v>4</v>
      </c>
      <c r="D19" s="6" t="s">
        <v>30</v>
      </c>
      <c r="E19" s="6" t="e" vm="4">
        <v>#VALUE!</v>
      </c>
      <c r="F19" s="6">
        <v>6</v>
      </c>
      <c r="G19" s="6">
        <v>1.5</v>
      </c>
      <c r="H19" s="6">
        <v>2.2000000000000002</v>
      </c>
      <c r="I19" s="6">
        <v>0.61</v>
      </c>
      <c r="J19" s="6">
        <v>7</v>
      </c>
      <c r="K19" s="8">
        <v>0.7</v>
      </c>
      <c r="L19" s="8">
        <v>0.05</v>
      </c>
      <c r="M19" s="8">
        <f>Table3[[#This Row],[Accuracy]]+Table3[[#This Row],[Accuracy increased per aiming level]]*10</f>
        <v>1.2</v>
      </c>
      <c r="N19" s="8">
        <v>0.6</v>
      </c>
      <c r="O19" s="8">
        <v>0.04</v>
      </c>
      <c r="P19" s="8">
        <f>Table3[[#This Row],[Critical hit chance]]+Table3[[#This Row],[Critical hit chance increased per aiming level]]*5</f>
        <v>0.8</v>
      </c>
      <c r="Q19" s="6">
        <v>100</v>
      </c>
      <c r="R19" s="6">
        <v>0.8</v>
      </c>
      <c r="S19" s="6" t="e" vm="5">
        <v>#VALUE!</v>
      </c>
      <c r="T19" s="9" t="s">
        <v>33</v>
      </c>
    </row>
    <row r="20" spans="1:20" x14ac:dyDescent="0.45">
      <c r="A20" s="6"/>
      <c r="B20" s="7" t="s">
        <v>36</v>
      </c>
      <c r="C20" s="6">
        <v>3.5</v>
      </c>
      <c r="D20" s="6" t="s">
        <v>30</v>
      </c>
      <c r="E20" s="6" t="e" vm="4">
        <v>#VALUE!</v>
      </c>
      <c r="F20" s="6">
        <v>6</v>
      </c>
      <c r="G20" s="6">
        <v>1.5</v>
      </c>
      <c r="H20" s="6">
        <v>2.2000000000000002</v>
      </c>
      <c r="I20" s="6">
        <v>0.61</v>
      </c>
      <c r="J20" s="6">
        <v>6</v>
      </c>
      <c r="K20" s="8">
        <v>1</v>
      </c>
      <c r="L20" s="8">
        <v>0</v>
      </c>
      <c r="M20" s="8">
        <f>Table3[[#This Row],[Accuracy]]+Table3[[#This Row],[Accuracy increased per aiming level]]*10</f>
        <v>1</v>
      </c>
      <c r="N20" s="8">
        <v>0.6</v>
      </c>
      <c r="O20" s="8">
        <v>0.04</v>
      </c>
      <c r="P20" s="8">
        <f>Table3[[#This Row],[Critical hit chance]]+Table3[[#This Row],[Critical hit chance increased per aiming level]]*5</f>
        <v>0.8</v>
      </c>
      <c r="Q20" s="6">
        <v>100</v>
      </c>
      <c r="R20" s="6">
        <v>0.9</v>
      </c>
      <c r="S20" s="6" t="e" vm="5">
        <v>#VALUE!</v>
      </c>
      <c r="T20" s="9" t="s">
        <v>37</v>
      </c>
    </row>
    <row r="21" spans="1:20" x14ac:dyDescent="0.45">
      <c r="A21" s="6"/>
      <c r="B21" s="7" t="s">
        <v>25</v>
      </c>
      <c r="C21" s="6">
        <v>1.5</v>
      </c>
      <c r="D21" s="6" t="s">
        <v>17</v>
      </c>
      <c r="E21" s="6" t="e" vm="1">
        <v>#VALUE!</v>
      </c>
      <c r="F21" s="6">
        <v>15</v>
      </c>
      <c r="G21" s="6">
        <v>0.6</v>
      </c>
      <c r="H21" s="6">
        <v>1</v>
      </c>
      <c r="I21" s="6">
        <v>0.61</v>
      </c>
      <c r="J21" s="6">
        <v>7</v>
      </c>
      <c r="K21" s="8">
        <v>0.5</v>
      </c>
      <c r="L21" s="8">
        <v>0.08</v>
      </c>
      <c r="M21" s="8">
        <f>Table3[[#This Row],[Accuracy]]+Table3[[#This Row],[Accuracy increased per aiming level]]*10</f>
        <v>1.3</v>
      </c>
      <c r="N21" s="8">
        <v>0.2</v>
      </c>
      <c r="O21" s="8">
        <v>0.1</v>
      </c>
      <c r="P21" s="8">
        <f>Table3[[#This Row],[Critical hit chance]]+Table3[[#This Row],[Critical hit chance increased per aiming level]]*5</f>
        <v>0.7</v>
      </c>
      <c r="Q21" s="6">
        <v>40</v>
      </c>
      <c r="R21" s="6">
        <v>0.3</v>
      </c>
      <c r="S21" s="6" t="e" vm="5">
        <v>#VALUE!</v>
      </c>
      <c r="T21" s="9" t="s">
        <v>26</v>
      </c>
    </row>
    <row r="22" spans="1:20" x14ac:dyDescent="0.45">
      <c r="A22" s="6"/>
      <c r="B22" s="7" t="s">
        <v>21</v>
      </c>
      <c r="C22" s="6">
        <v>1.5</v>
      </c>
      <c r="D22" s="6" t="s">
        <v>17</v>
      </c>
      <c r="E22" s="6" t="e" vm="1">
        <v>#VALUE!</v>
      </c>
      <c r="F22" s="6">
        <v>5</v>
      </c>
      <c r="G22" s="6">
        <v>0.7</v>
      </c>
      <c r="H22" s="6">
        <v>1.2</v>
      </c>
      <c r="I22" s="6">
        <v>0.61</v>
      </c>
      <c r="J22" s="6">
        <v>6</v>
      </c>
      <c r="K22" s="8">
        <v>0.65</v>
      </c>
      <c r="L22" s="8">
        <v>0.08</v>
      </c>
      <c r="M22" s="8">
        <f>Table3[[#This Row],[Accuracy]]+Table3[[#This Row],[Accuracy increased per aiming level]]*10</f>
        <v>1.4500000000000002</v>
      </c>
      <c r="N22" s="8">
        <v>0.2</v>
      </c>
      <c r="O22" s="8">
        <v>0.1</v>
      </c>
      <c r="P22" s="8">
        <f>Table3[[#This Row],[Critical hit chance]]+Table3[[#This Row],[Critical hit chance increased per aiming level]]*5</f>
        <v>0.7</v>
      </c>
      <c r="Q22" s="6">
        <v>30</v>
      </c>
      <c r="R22" s="6">
        <v>0.3</v>
      </c>
      <c r="S22" s="6" t="e" vm="5">
        <v>#VALUE!</v>
      </c>
      <c r="T22" s="9" t="s">
        <v>22</v>
      </c>
    </row>
    <row r="23" spans="1:20" x14ac:dyDescent="0.45">
      <c r="A23" s="6"/>
      <c r="B23" s="7" t="s">
        <v>16</v>
      </c>
      <c r="C23" s="6">
        <v>1.5</v>
      </c>
      <c r="D23" s="6" t="s">
        <v>17</v>
      </c>
      <c r="E23" s="6" t="e" vm="1">
        <v>#VALUE!</v>
      </c>
      <c r="F23" s="6">
        <v>8</v>
      </c>
      <c r="G23" s="6">
        <v>1</v>
      </c>
      <c r="H23" s="6">
        <v>1.9</v>
      </c>
      <c r="I23" s="6">
        <v>0.61</v>
      </c>
      <c r="J23" s="6">
        <v>10</v>
      </c>
      <c r="K23" s="8">
        <v>0.2</v>
      </c>
      <c r="L23" s="8">
        <v>0.12</v>
      </c>
      <c r="M23" s="8">
        <f>Table3[[#This Row],[Accuracy]]+Table3[[#This Row],[Accuracy increased per aiming level]]*10</f>
        <v>1.4</v>
      </c>
      <c r="N23" s="8">
        <v>0.2</v>
      </c>
      <c r="O23" s="8">
        <v>0.1</v>
      </c>
      <c r="P23" s="8">
        <f>Table3[[#This Row],[Critical hit chance]]+Table3[[#This Row],[Critical hit chance increased per aiming level]]*5</f>
        <v>0.7</v>
      </c>
      <c r="Q23" s="6">
        <v>70</v>
      </c>
      <c r="R23" s="6">
        <v>0.3</v>
      </c>
      <c r="S23" s="6" t="e" vm="5">
        <v>#VALUE!</v>
      </c>
      <c r="T23" s="9" t="s">
        <v>18</v>
      </c>
    </row>
    <row r="24" spans="1:20" x14ac:dyDescent="0.45">
      <c r="A24" s="6"/>
      <c r="B24" s="7" t="s">
        <v>19</v>
      </c>
      <c r="C24" s="6">
        <v>1.5</v>
      </c>
      <c r="D24" s="6" t="s">
        <v>17</v>
      </c>
      <c r="E24" s="6" t="e" vm="1">
        <v>#VALUE!</v>
      </c>
      <c r="F24" s="6">
        <v>7</v>
      </c>
      <c r="G24" s="6">
        <v>1</v>
      </c>
      <c r="H24" s="6">
        <v>1.4</v>
      </c>
      <c r="I24" s="6">
        <v>0.61</v>
      </c>
      <c r="J24" s="6">
        <v>8</v>
      </c>
      <c r="K24" s="8">
        <v>0.4</v>
      </c>
      <c r="L24" s="8">
        <v>0.1</v>
      </c>
      <c r="M24" s="8">
        <f>Table3[[#This Row],[Accuracy]]+Table3[[#This Row],[Accuracy increased per aiming level]]*10</f>
        <v>1.4</v>
      </c>
      <c r="N24" s="8">
        <v>0.2</v>
      </c>
      <c r="O24" s="8">
        <v>0.1</v>
      </c>
      <c r="P24" s="8">
        <f>Table3[[#This Row],[Critical hit chance]]+Table3[[#This Row],[Critical hit chance increased per aiming level]]*5</f>
        <v>0.7</v>
      </c>
      <c r="Q24" s="6">
        <v>50</v>
      </c>
      <c r="R24" s="6">
        <v>0.3</v>
      </c>
      <c r="S24" s="6" t="e" vm="5">
        <v>#VALUE!</v>
      </c>
      <c r="T24" s="9" t="s">
        <v>20</v>
      </c>
    </row>
    <row r="25" spans="1:20" x14ac:dyDescent="0.45">
      <c r="A25" s="6"/>
      <c r="B25" s="7" t="s">
        <v>23</v>
      </c>
      <c r="C25" s="6">
        <v>1.75</v>
      </c>
      <c r="D25" s="6" t="s">
        <v>17</v>
      </c>
      <c r="E25" s="6" t="e" vm="1">
        <v>#VALUE!</v>
      </c>
      <c r="F25" s="6">
        <v>6</v>
      </c>
      <c r="G25" s="6">
        <v>1</v>
      </c>
      <c r="H25" s="6">
        <v>1.6</v>
      </c>
      <c r="I25" s="6">
        <v>0.61</v>
      </c>
      <c r="J25" s="6">
        <v>9</v>
      </c>
      <c r="K25" s="8">
        <v>0.3</v>
      </c>
      <c r="L25" s="8">
        <v>0.1</v>
      </c>
      <c r="M25" s="8">
        <f>Table3[[#This Row],[Accuracy]]+Table3[[#This Row],[Accuracy increased per aiming level]]*10</f>
        <v>1.3</v>
      </c>
      <c r="N25" s="8">
        <v>0.2</v>
      </c>
      <c r="O25" s="8">
        <v>0.1</v>
      </c>
      <c r="P25" s="8">
        <f>Table3[[#This Row],[Critical hit chance]]+Table3[[#This Row],[Critical hit chance increased per aiming level]]*5</f>
        <v>0.7</v>
      </c>
      <c r="Q25" s="6">
        <v>50</v>
      </c>
      <c r="R25" s="6">
        <v>0.3</v>
      </c>
      <c r="S25" s="6" t="e" vm="5">
        <v>#VALUE!</v>
      </c>
      <c r="T25" s="9" t="s">
        <v>24</v>
      </c>
    </row>
    <row r="26" spans="1:20" x14ac:dyDescent="0.45">
      <c r="A26" s="6"/>
      <c r="B26" s="7" t="s">
        <v>27</v>
      </c>
      <c r="C26" s="6">
        <v>2</v>
      </c>
      <c r="D26" s="6" t="s">
        <v>17</v>
      </c>
      <c r="E26" s="6" t="e" vm="1">
        <v>#VALUE!</v>
      </c>
      <c r="F26" s="6">
        <v>6</v>
      </c>
      <c r="G26" s="6">
        <v>1.2</v>
      </c>
      <c r="H26" s="6">
        <v>1.9</v>
      </c>
      <c r="I26" s="6">
        <v>0.61</v>
      </c>
      <c r="J26" s="6">
        <v>11</v>
      </c>
      <c r="K26" s="8">
        <v>0.2</v>
      </c>
      <c r="L26" s="8">
        <v>0.12</v>
      </c>
      <c r="M26" s="8">
        <f>Table3[[#This Row],[Accuracy]]+Table3[[#This Row],[Accuracy increased per aiming level]]*10</f>
        <v>1.4</v>
      </c>
      <c r="N26" s="8">
        <v>0.2</v>
      </c>
      <c r="O26" s="8">
        <v>0.1</v>
      </c>
      <c r="P26" s="8">
        <f>Table3[[#This Row],[Critical hit chance]]+Table3[[#This Row],[Critical hit chance increased per aiming level]]*5</f>
        <v>0.7</v>
      </c>
      <c r="Q26" s="6">
        <v>80</v>
      </c>
      <c r="R26" s="6">
        <v>0.3</v>
      </c>
      <c r="S26" s="6" t="e" vm="5">
        <v>#VALUE!</v>
      </c>
      <c r="T26" s="9" t="s">
        <v>28</v>
      </c>
    </row>
  </sheetData>
  <hyperlinks>
    <hyperlink ref="B2" r:id="rId1" tooltip="9mm Round" display="https://pzwiki.net/wiki/9mm_Round" xr:uid="{C1B5B365-1042-4089-BC8D-6929569B8488}"/>
    <hyperlink ref="B4" r:id="rId2" tooltip=".223 Round" display="https://pzwiki.net/wiki/.223_Round" xr:uid="{8BBEC817-DD90-4FAD-A5CE-A6C095CD42A0}"/>
    <hyperlink ref="B5" r:id="rId3" tooltip=".308 Round" display="https://pzwiki.net/wiki/.308_Round" xr:uid="{4F801265-8792-47E2-9A56-B9544B9E28AB}"/>
    <hyperlink ref="B3" r:id="rId4" tooltip=".38 Special Round" display="https://pzwiki.net/wiki/.38_Special_Round" xr:uid="{1E2C4D73-CC30-4A22-8AA1-C059ACC39832}"/>
    <hyperlink ref="B6" r:id="rId5" tooltip="5.56mm Round" display="https://pzwiki.net/wiki/5.56mm_Round" xr:uid="{F4F7E9FF-1488-4529-AB8A-3B1FA00719B6}"/>
    <hyperlink ref="B7" r:id="rId6" tooltip=".44 Magnum Round" display="https://pzwiki.net/wiki/.44_Magnum_Round" xr:uid="{4B0EB514-5B0E-4403-8CCA-4D32DD900351}"/>
    <hyperlink ref="B8" r:id="rId7" tooltip=".45 Auto Round" display="https://pzwiki.net/wiki/.45_Auto_Round" xr:uid="{BFCF5354-E0A5-4979-A3ED-665333119290}"/>
    <hyperlink ref="B9" r:id="rId8" tooltip="Shotgun Shells" display="https://pzwiki.net/wiki/Shotgun_Shells" xr:uid="{D4FC57E7-DAED-4864-B037-39FE9F303621}"/>
    <hyperlink ref="B23" r:id="rId9" tooltip="D-E Pistol" display="https://pzwiki.net/wiki/D-E_Pistol" xr:uid="{55A10F3A-1072-4E5F-A204-87125B349AA9}"/>
    <hyperlink ref="B24" r:id="rId10" tooltip="M1911 Pistol" display="https://pzwiki.net/wiki/M1911_Pistol" xr:uid="{DC1A993F-E24C-4B8F-AB21-5F04E1FC463B}"/>
    <hyperlink ref="B22" r:id="rId11" tooltip="M36 Revolver" display="https://pzwiki.net/wiki/M36_Revolver" xr:uid="{C63650BD-2EA7-4FF0-A55D-01ADB45DE770}"/>
    <hyperlink ref="B25" r:id="rId12" tooltip="M625 Revolver" display="https://pzwiki.net/wiki/M625_Revolver" xr:uid="{15DE3773-B41C-45E6-83F5-FDFCF378107F}"/>
    <hyperlink ref="B21" r:id="rId13" tooltip="M9 Pistol" display="https://pzwiki.net/wiki/M9_Pistol" xr:uid="{AB0AF39B-722C-4B12-A311-C863C714219C}"/>
    <hyperlink ref="B26" r:id="rId14" tooltip="Magnum" display="https://pzwiki.net/wiki/Magnum" xr:uid="{45D50FC2-9B84-478C-B221-1D3938406705}"/>
    <hyperlink ref="B15" r:id="rId15" tooltip="Double Barrel Shotgun" display="https://pzwiki.net/wiki/Double_Barrel_Shotgun" xr:uid="{C331B90E-E1A8-497F-A43B-A19D2C670D03}"/>
    <hyperlink ref="B19" r:id="rId16" tooltip="JS-2000 Shotgun" display="https://pzwiki.net/wiki/JS-2000_Shotgun" xr:uid="{D3BF8285-3328-46C4-B221-9BCFD2FAAECC}"/>
    <hyperlink ref="B16" r:id="rId17" tooltip="Sawed-off Double Barrel Shotgun" display="https://pzwiki.net/wiki/Sawed-off_Double_Barrel_Shotgun" xr:uid="{CB7290A4-1FF3-4573-A7CE-33668C8B79A6}"/>
    <hyperlink ref="B20" r:id="rId18" tooltip="Sawed-off JS-2000 Shotgun" display="https://pzwiki.net/wiki/Sawed-off_JS-2000_Shotgun" xr:uid="{597DB3EE-C837-4966-9FF0-0FAC85087554}"/>
    <hyperlink ref="B13" r:id="rId19" tooltip="M14 Rifle" display="https://pzwiki.net/wiki/M14_Rifle" xr:uid="{08AABEB2-8EED-4630-8735-0A548FFAA131}"/>
    <hyperlink ref="B18" r:id="rId20" tooltip="M16 Assault Rifle" display="https://pzwiki.net/wiki/M16_Assault_Rifle" xr:uid="{03187982-30E3-45BA-97EC-1963CFF31C24}"/>
    <hyperlink ref="B17" r:id="rId21" tooltip="MSR700 Rifle" display="https://pzwiki.net/wiki/MSR700_Rifle" xr:uid="{0F26E884-180A-4B3C-A29C-5A80806A6202}"/>
    <hyperlink ref="B14" r:id="rId22" tooltip="MSR788 Rifle" display="https://pzwiki.net/wiki/MSR788_Rifle" xr:uid="{1A89FCB1-1589-4879-A58E-02762480C875}"/>
  </hyperlinks>
  <pageMargins left="0.7" right="0.7" top="0.75" bottom="0.75" header="0.3" footer="0.3"/>
  <pageSetup orientation="portrait" r:id="rId23"/>
  <tableParts count="2">
    <tablePart r:id="rId24"/>
    <tablePart r:id="rId2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4" ma:contentTypeDescription="Create a new document." ma:contentTypeScope="" ma:versionID="3a5d6468154f3129fcace74134d774ea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55f6975694cfb300750ebd38341a2f63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Props1.xml><?xml version="1.0" encoding="utf-8"?>
<ds:datastoreItem xmlns:ds="http://schemas.openxmlformats.org/officeDocument/2006/customXml" ds:itemID="{974F85FA-7236-4136-A4BE-33B5DB5F69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3BFF83-066E-40A4-963A-02B544296F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526E11-AAFF-4677-B244-BE26FB3C1186}">
  <ds:schemaRefs>
    <ds:schemaRef ds:uri="3bd2448e-bc80-4060-9b44-5204c1169a85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08ceecc5-2daa-47f4-9f70-3b427bddc800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2024-09-29T20:12:54Z</dcterms:created>
  <dcterms:modified xsi:type="dcterms:W3CDTF">2026-09-29T04:39:51Z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