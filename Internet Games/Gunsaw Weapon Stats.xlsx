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ks\Documents\Game mechanics\"/>
    </mc:Choice>
  </mc:AlternateContent>
  <xr:revisionPtr revIDLastSave="0" documentId="8_{AAC12ED7-FC56-41DE-B071-A801C115DCC2}" xr6:coauthVersionLast="47" xr6:coauthVersionMax="47" xr10:uidLastSave="{00000000-0000-0000-0000-000000000000}"/>
  <bookViews>
    <workbookView xWindow="-98" yWindow="-98" windowWidth="19396" windowHeight="11475" xr2:uid="{167AA95A-9E9B-4450-BA34-2F0D4082D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P2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7" i="1"/>
  <c r="P29" i="1"/>
  <c r="P30" i="1"/>
  <c r="P31" i="1"/>
  <c r="P32" i="1"/>
  <c r="P33" i="1"/>
  <c r="P34" i="1"/>
  <c r="P35" i="1"/>
  <c r="P36" i="1"/>
  <c r="P37" i="1"/>
  <c r="P38" i="1"/>
  <c r="Q34" i="1"/>
  <c r="Q28" i="1"/>
  <c r="Q3" i="1"/>
  <c r="Q35" i="1"/>
  <c r="Q37" i="1"/>
  <c r="Q12" i="1"/>
  <c r="Q5" i="1"/>
  <c r="Q16" i="1"/>
  <c r="Q36" i="1"/>
  <c r="Q10" i="1"/>
  <c r="Q14" i="1"/>
  <c r="Q20" i="1"/>
  <c r="Q30" i="1"/>
  <c r="Q33" i="1"/>
  <c r="Q19" i="1"/>
  <c r="Q29" i="1"/>
  <c r="Q11" i="1"/>
  <c r="Q22" i="1"/>
  <c r="Q26" i="1"/>
  <c r="Q24" i="1"/>
  <c r="Q31" i="1"/>
  <c r="Q13" i="1"/>
  <c r="Q25" i="1"/>
  <c r="Q17" i="1"/>
  <c r="Q6" i="1"/>
  <c r="Q32" i="1"/>
  <c r="Q7" i="1"/>
  <c r="Q27" i="1"/>
  <c r="Q8" i="1"/>
  <c r="Q21" i="1"/>
  <c r="Q18" i="1"/>
  <c r="Q38" i="1"/>
  <c r="Q23" i="1"/>
  <c r="Q9" i="1"/>
  <c r="Q15" i="1"/>
  <c r="Q2" i="1"/>
  <c r="Q4" i="1"/>
</calcChain>
</file>

<file path=xl/sharedStrings.xml><?xml version="1.0" encoding="utf-8"?>
<sst xmlns="http://schemas.openxmlformats.org/spreadsheetml/2006/main" count="89" uniqueCount="85">
  <si>
    <t>file name</t>
  </si>
  <si>
    <t>weapon name</t>
  </si>
  <si>
    <t>fire delay</t>
  </si>
  <si>
    <t>desired fire delay</t>
  </si>
  <si>
    <t>damage</t>
  </si>
  <si>
    <t>aim speed</t>
  </si>
  <si>
    <t>knockback</t>
  </si>
  <si>
    <t>recoil</t>
  </si>
  <si>
    <t>recoil recovery</t>
  </si>
  <si>
    <t>bullet amount</t>
  </si>
  <si>
    <t>spread</t>
  </si>
  <si>
    <t>Power level</t>
  </si>
  <si>
    <t>Governer</t>
  </si>
  <si>
    <t>AK47</t>
  </si>
  <si>
    <t>AUG</t>
  </si>
  <si>
    <t>Tactical SMG</t>
  </si>
  <si>
    <t>Banshee</t>
  </si>
  <si>
    <t>BigRifle</t>
  </si>
  <si>
    <t>Derringer</t>
  </si>
  <si>
    <t>Spec-ops rifle</t>
  </si>
  <si>
    <t>Famas</t>
  </si>
  <si>
    <t>Fists</t>
  </si>
  <si>
    <t>Unarmed</t>
  </si>
  <si>
    <t>Carbine</t>
  </si>
  <si>
    <t>G36C</t>
  </si>
  <si>
    <t>Garand</t>
  </si>
  <si>
    <t>Light pistol</t>
  </si>
  <si>
    <t>Heavy rifle</t>
  </si>
  <si>
    <t>Bullpup rifle</t>
  </si>
  <si>
    <t>Assault rifle</t>
  </si>
  <si>
    <t>Glock</t>
  </si>
  <si>
    <t>Grenade Launcher</t>
  </si>
  <si>
    <t>GrenadeLauncher</t>
  </si>
  <si>
    <t>Heavy Revolver</t>
  </si>
  <si>
    <t>Magnum</t>
  </si>
  <si>
    <t>Prototype</t>
  </si>
  <si>
    <t>KrisVector</t>
  </si>
  <si>
    <t>Tactical rifle</t>
  </si>
  <si>
    <t>M16</t>
  </si>
  <si>
    <t>Old rifle</t>
  </si>
  <si>
    <t>M1918</t>
  </si>
  <si>
    <t>go away</t>
  </si>
  <si>
    <t>MADDeagle</t>
  </si>
  <si>
    <t>Mini SMG</t>
  </si>
  <si>
    <t>MP5</t>
  </si>
  <si>
    <t>Operator</t>
  </si>
  <si>
    <t>MP7</t>
  </si>
  <si>
    <t>PDW</t>
  </si>
  <si>
    <t>P90</t>
  </si>
  <si>
    <t>Pistol</t>
  </si>
  <si>
    <t>Papasha</t>
  </si>
  <si>
    <t>PPSH</t>
  </si>
  <si>
    <t>Revolver</t>
  </si>
  <si>
    <t>Rocket Launcher</t>
  </si>
  <si>
    <t>RPG</t>
  </si>
  <si>
    <t>Full-auto shotgun</t>
  </si>
  <si>
    <t>Saiga</t>
  </si>
  <si>
    <t>Sawed Off</t>
  </si>
  <si>
    <t>Shotgun</t>
  </si>
  <si>
    <t>SawedOff</t>
  </si>
  <si>
    <t>Semi-auto shotgun</t>
  </si>
  <si>
    <t>Skorpion</t>
  </si>
  <si>
    <t>Machine pistol</t>
  </si>
  <si>
    <t>SMG</t>
  </si>
  <si>
    <t>SMGun</t>
  </si>
  <si>
    <t>Sniper rifle</t>
  </si>
  <si>
    <t>Sniper</t>
  </si>
  <si>
    <t>Rapid-fire revolver</t>
  </si>
  <si>
    <t>SnubNose</t>
  </si>
  <si>
    <t>Marksman rifle</t>
  </si>
  <si>
    <t>SR25</t>
  </si>
  <si>
    <t>Stench Gun</t>
  </si>
  <si>
    <t>Sten</t>
  </si>
  <si>
    <t>Makeshift rifle</t>
  </si>
  <si>
    <t>STG</t>
  </si>
  <si>
    <t>Rectangle Gun</t>
  </si>
  <si>
    <t>TestGun</t>
  </si>
  <si>
    <t>Trench Sweeper</t>
  </si>
  <si>
    <t>TommyGun</t>
  </si>
  <si>
    <t>Vitya</t>
  </si>
  <si>
    <t>Vityaz</t>
  </si>
  <si>
    <t>Recoil rating</t>
  </si>
  <si>
    <t>Knockback/second</t>
  </si>
  <si>
    <t>Ammo type</t>
  </si>
  <si>
    <t>Weapon 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</si>
</sst>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696E4-A2AC-40B7-A72D-D2362D23B1C0}" name="Table1" displayName="Table1" ref="B1:Q38" totalsRowShown="0">
  <autoFilter ref="B1:Q38" xr:uid="{FFF696E4-A2AC-40B7-A72D-D2362D23B1C0}"/>
  <sortState xmlns:xlrd2="http://schemas.microsoft.com/office/spreadsheetml/2017/richdata2" ref="B2:Q38">
    <sortCondition ref="Q1:Q38"/>
  </sortState>
  <tableColumns count="16">
    <tableColumn id="1" xr3:uid="{EAC3C634-1DDE-44C2-9F2D-23C2B1DDEA64}" name="weapon name"/>
    <tableColumn id="2" xr3:uid="{60E13A1D-1BFA-4234-A6AE-648CE50026EF}" name="file name"/>
    <tableColumn id="3" xr3:uid="{EA4D6895-B754-453E-BCE7-3A16C8DBDAD1}" name="fire delay"/>
    <tableColumn id="4" xr3:uid="{1BFBB4E3-F4F4-4DAA-97A6-731492F970F7}" name="desired fire delay"/>
    <tableColumn id="5" xr3:uid="{F4F930BA-2C3F-42A1-A0A6-B5B51415F859}" name="damage"/>
    <tableColumn id="6" xr3:uid="{86F2A2D6-13B6-47EA-BC1E-DAAC97C4420C}" name="aim speed"/>
    <tableColumn id="7" xr3:uid="{4AC0EB0B-E7D4-4EA9-A62B-23BD9751431E}" name="knockback"/>
    <tableColumn id="8" xr3:uid="{64BBC431-4683-4E3F-8839-F1761AC618E0}" name="recoil"/>
    <tableColumn id="9" xr3:uid="{9745E71A-BB24-4DB6-BE96-CA8EBCC7E69C}" name="recoil recovery"/>
    <tableColumn id="10" xr3:uid="{3945AF6C-CD65-4FAC-B921-88BBC37B70F4}" name="bullet amount"/>
    <tableColumn id="11" xr3:uid="{15815B84-4371-4D77-B91E-B652DBA18C08}" name="spread"/>
    <tableColumn id="12" xr3:uid="{084922AA-9F34-4326-A6B2-DD81C6CDB336}" name="Power level"/>
    <tableColumn id="14" xr3:uid="{6C03C33E-DDF0-4449-9B2B-98EAE3390CFB}" name="Ammo type" dataDxfId="2"/>
    <tableColumn id="15" xr3:uid="{89BB040D-66D7-4932-8550-A968824A79A9}" name="Weapon slot" dataDxfId="1"/>
    <tableColumn id="13" xr3:uid="{8D02EF6C-875B-43A8-91AC-241BF79750EE}" name="Knockback/second" dataDxfId="0">
      <calculatedColumnFormula>Table1[[#This Row],[knockback]]/Table1[[#This Row],[fire delay]]</calculatedColumnFormula>
    </tableColumn>
    <tableColumn id="16" xr3:uid="{EA6B5A46-A20E-4767-8E6A-39F284DC6A55}" name="Recoil rating">
      <calculatedColumnFormula>Table1[[#This Row],[recoil]]/Table1[[#This Row],[recoil recovery]]/Table1[[#This Row],[fire delay]]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C71A-6529-4429-B277-3F2F6D08B973}">
  <dimension ref="B1:Q38"/>
  <sheetViews>
    <sheetView tabSelected="1" topLeftCell="C1" zoomScale="70" zoomScaleNormal="85" workbookViewId="0">
      <selection activeCell="Q4" sqref="Q4"/>
    </sheetView>
  </sheetViews>
  <sheetFormatPr defaultRowHeight="14.25" x14ac:dyDescent="0.45"/>
  <cols>
    <col min="2" max="2" width="18.46484375" bestFit="1" customWidth="1"/>
    <col min="3" max="3" width="18.86328125" bestFit="1" customWidth="1"/>
    <col min="4" max="4" width="11.6640625" bestFit="1" customWidth="1"/>
    <col min="5" max="5" width="19" bestFit="1" customWidth="1"/>
    <col min="6" max="6" width="10.53125" bestFit="1" customWidth="1"/>
    <col min="7" max="7" width="12.46484375" bestFit="1" customWidth="1"/>
    <col min="8" max="8" width="12.53125" bestFit="1" customWidth="1"/>
    <col min="9" max="9" width="8.46484375" bestFit="1" customWidth="1"/>
    <col min="10" max="10" width="16.53125" bestFit="1" customWidth="1"/>
    <col min="11" max="11" width="16" bestFit="1" customWidth="1"/>
    <col min="12" max="12" width="9.46484375" bestFit="1" customWidth="1"/>
    <col min="13" max="13" width="13.86328125" bestFit="1" customWidth="1"/>
    <col min="14" max="14" width="13.53125" bestFit="1" customWidth="1"/>
    <col min="15" max="15" width="14.53125" bestFit="1" customWidth="1"/>
    <col min="16" max="16" width="20" bestFit="1" customWidth="1"/>
    <col min="17" max="17" width="14.33203125" bestFit="1" customWidth="1"/>
  </cols>
  <sheetData>
    <row r="1" spans="2:17" x14ac:dyDescent="0.45"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83</v>
      </c>
      <c r="O1" t="s">
        <v>84</v>
      </c>
      <c r="P1" t="s">
        <v>82</v>
      </c>
      <c r="Q1" t="s">
        <v>81</v>
      </c>
    </row>
    <row r="2" spans="2:17" x14ac:dyDescent="0.45">
      <c r="B2" t="s">
        <v>35</v>
      </c>
      <c r="C2" t="s">
        <v>36</v>
      </c>
      <c r="D2">
        <v>0.06</v>
      </c>
      <c r="E2">
        <v>0.06</v>
      </c>
      <c r="F2">
        <v>6</v>
      </c>
      <c r="G2">
        <v>12</v>
      </c>
      <c r="H2">
        <v>5</v>
      </c>
      <c r="I2">
        <v>-5</v>
      </c>
      <c r="J2">
        <v>8</v>
      </c>
      <c r="K2">
        <v>1</v>
      </c>
      <c r="L2">
        <v>0.12</v>
      </c>
      <c r="M2">
        <v>3</v>
      </c>
      <c r="N2">
        <v>0</v>
      </c>
      <c r="O2">
        <v>1</v>
      </c>
      <c r="P2">
        <f>Table1[[#This Row],[knockback]]/Table1[[#This Row],[fire delay]]</f>
        <v>83.333333333333343</v>
      </c>
      <c r="Q2">
        <f>Table1[[#This Row],[recoil]]/Table1[[#This Row],[recoil recovery]]/Table1[[#This Row],[fire delay]]</f>
        <v>-10.416666666666668</v>
      </c>
    </row>
    <row r="3" spans="2:17" x14ac:dyDescent="0.45">
      <c r="B3" t="s">
        <v>22</v>
      </c>
      <c r="C3" t="s">
        <v>21</v>
      </c>
      <c r="D3">
        <v>0.8</v>
      </c>
      <c r="E3">
        <v>0</v>
      </c>
      <c r="F3">
        <v>8</v>
      </c>
      <c r="G3">
        <v>20</v>
      </c>
      <c r="H3">
        <v>15</v>
      </c>
      <c r="I3">
        <v>0</v>
      </c>
      <c r="J3">
        <v>1</v>
      </c>
      <c r="K3">
        <v>1</v>
      </c>
      <c r="L3">
        <v>0</v>
      </c>
      <c r="M3">
        <v>-5</v>
      </c>
      <c r="N3">
        <v>0</v>
      </c>
      <c r="O3">
        <v>0</v>
      </c>
      <c r="P3">
        <f>Table1[[#This Row],[knockback]]/Table1[[#This Row],[fire delay]]</f>
        <v>18.75</v>
      </c>
      <c r="Q3">
        <f>Table1[[#This Row],[recoil]]/Table1[[#This Row],[recoil recovery]]/Table1[[#This Row],[fire delay]]</f>
        <v>0</v>
      </c>
    </row>
    <row r="4" spans="2:17" x14ac:dyDescent="0.45">
      <c r="B4" t="s">
        <v>53</v>
      </c>
      <c r="C4" t="s">
        <v>54</v>
      </c>
      <c r="D4">
        <v>1.5</v>
      </c>
      <c r="E4">
        <v>1.5</v>
      </c>
      <c r="F4">
        <v>0</v>
      </c>
      <c r="G4">
        <v>5</v>
      </c>
      <c r="H4">
        <v>0</v>
      </c>
      <c r="I4">
        <v>0</v>
      </c>
      <c r="J4">
        <v>10</v>
      </c>
      <c r="K4">
        <v>1</v>
      </c>
      <c r="L4">
        <v>0.05</v>
      </c>
      <c r="M4">
        <v>10</v>
      </c>
      <c r="N4">
        <v>4</v>
      </c>
      <c r="O4">
        <v>2</v>
      </c>
      <c r="P4">
        <f>Table1[[#This Row],[knockback]]/Table1[[#This Row],[fire delay]]</f>
        <v>0</v>
      </c>
      <c r="Q4">
        <f>Table1[[#This Row],[recoil]]/Table1[[#This Row],[recoil recovery]]/Table1[[#This Row],[fire delay]]</f>
        <v>0</v>
      </c>
    </row>
    <row r="5" spans="2:17" x14ac:dyDescent="0.45">
      <c r="B5" t="s">
        <v>31</v>
      </c>
      <c r="C5" t="s">
        <v>32</v>
      </c>
      <c r="D5">
        <v>1</v>
      </c>
      <c r="E5">
        <v>1</v>
      </c>
      <c r="F5">
        <v>0</v>
      </c>
      <c r="G5">
        <v>8</v>
      </c>
      <c r="H5">
        <v>5</v>
      </c>
      <c r="I5">
        <v>10</v>
      </c>
      <c r="J5">
        <v>8</v>
      </c>
      <c r="K5">
        <v>1</v>
      </c>
      <c r="L5">
        <v>0.06</v>
      </c>
      <c r="M5">
        <v>8</v>
      </c>
      <c r="N5">
        <v>4</v>
      </c>
      <c r="O5">
        <v>0</v>
      </c>
      <c r="P5">
        <f>Table1[[#This Row],[knockback]]/Table1[[#This Row],[fire delay]]</f>
        <v>5</v>
      </c>
      <c r="Q5">
        <f>Table1[[#This Row],[recoil]]/Table1[[#This Row],[recoil recovery]]/Table1[[#This Row],[fire delay]]</f>
        <v>1.25</v>
      </c>
    </row>
    <row r="6" spans="2:17" x14ac:dyDescent="0.45">
      <c r="B6" t="s">
        <v>71</v>
      </c>
      <c r="C6" t="s">
        <v>72</v>
      </c>
      <c r="D6">
        <v>0.11</v>
      </c>
      <c r="E6">
        <v>0.11</v>
      </c>
      <c r="F6">
        <v>7</v>
      </c>
      <c r="G6">
        <v>15</v>
      </c>
      <c r="H6">
        <v>4</v>
      </c>
      <c r="I6">
        <v>6</v>
      </c>
      <c r="J6">
        <v>9</v>
      </c>
      <c r="K6">
        <v>1</v>
      </c>
      <c r="L6">
        <v>0.08</v>
      </c>
      <c r="M6">
        <v>1</v>
      </c>
      <c r="N6">
        <v>0</v>
      </c>
      <c r="O6">
        <v>1</v>
      </c>
      <c r="P6">
        <f>Table1[[#This Row],[knockback]]/Table1[[#This Row],[fire delay]]</f>
        <v>36.363636363636367</v>
      </c>
      <c r="Q6">
        <f>Table1[[#This Row],[recoil]]/Table1[[#This Row],[recoil recovery]]/Table1[[#This Row],[fire delay]]</f>
        <v>6.0606060606060606</v>
      </c>
    </row>
    <row r="7" spans="2:17" x14ac:dyDescent="0.45">
      <c r="B7" t="s">
        <v>62</v>
      </c>
      <c r="C7" t="s">
        <v>61</v>
      </c>
      <c r="D7">
        <v>0.08</v>
      </c>
      <c r="E7">
        <v>0.08</v>
      </c>
      <c r="F7">
        <v>6.5</v>
      </c>
      <c r="G7">
        <v>18</v>
      </c>
      <c r="H7">
        <v>5</v>
      </c>
      <c r="I7">
        <v>5</v>
      </c>
      <c r="J7">
        <v>10</v>
      </c>
      <c r="K7">
        <v>1</v>
      </c>
      <c r="L7">
        <v>0.2</v>
      </c>
      <c r="M7">
        <v>0</v>
      </c>
      <c r="N7">
        <v>0</v>
      </c>
      <c r="O7">
        <v>0</v>
      </c>
      <c r="P7">
        <f>Table1[[#This Row],[knockback]]/Table1[[#This Row],[fire delay]]</f>
        <v>62.5</v>
      </c>
      <c r="Q7">
        <f>Table1[[#This Row],[recoil]]/Table1[[#This Row],[recoil recovery]]/Table1[[#This Row],[fire delay]]</f>
        <v>6.25</v>
      </c>
    </row>
    <row r="8" spans="2:17" x14ac:dyDescent="0.45">
      <c r="B8" t="s">
        <v>43</v>
      </c>
      <c r="C8" t="s">
        <v>44</v>
      </c>
      <c r="D8">
        <v>7.0000000000000007E-2</v>
      </c>
      <c r="E8">
        <v>7.0000000000000007E-2</v>
      </c>
      <c r="F8">
        <v>6.25</v>
      </c>
      <c r="G8">
        <v>17</v>
      </c>
      <c r="H8">
        <v>5</v>
      </c>
      <c r="I8">
        <v>5</v>
      </c>
      <c r="J8">
        <v>10</v>
      </c>
      <c r="K8">
        <v>1</v>
      </c>
      <c r="L8">
        <v>0.18</v>
      </c>
      <c r="M8">
        <v>1</v>
      </c>
      <c r="N8">
        <v>0</v>
      </c>
      <c r="O8">
        <v>0</v>
      </c>
      <c r="P8">
        <f>Table1[[#This Row],[knockback]]/Table1[[#This Row],[fire delay]]</f>
        <v>71.428571428571416</v>
      </c>
      <c r="Q8">
        <f>Table1[[#This Row],[recoil]]/Table1[[#This Row],[recoil recovery]]/Table1[[#This Row],[fire delay]]</f>
        <v>7.1428571428571423</v>
      </c>
    </row>
    <row r="9" spans="2:17" x14ac:dyDescent="0.45">
      <c r="B9" t="s">
        <v>47</v>
      </c>
      <c r="C9" t="s">
        <v>48</v>
      </c>
      <c r="D9">
        <v>0.05</v>
      </c>
      <c r="E9">
        <v>0.05</v>
      </c>
      <c r="F9">
        <v>5</v>
      </c>
      <c r="G9">
        <v>10</v>
      </c>
      <c r="H9">
        <v>6</v>
      </c>
      <c r="I9">
        <v>4</v>
      </c>
      <c r="J9">
        <v>10</v>
      </c>
      <c r="K9">
        <v>1</v>
      </c>
      <c r="L9">
        <v>0.12</v>
      </c>
      <c r="M9">
        <v>5</v>
      </c>
      <c r="N9">
        <v>0</v>
      </c>
      <c r="O9">
        <v>1</v>
      </c>
      <c r="P9">
        <f>Table1[[#This Row],[knockback]]/Table1[[#This Row],[fire delay]]</f>
        <v>120</v>
      </c>
      <c r="Q9">
        <f>Table1[[#This Row],[recoil]]/Table1[[#This Row],[recoil recovery]]/Table1[[#This Row],[fire delay]]</f>
        <v>8</v>
      </c>
    </row>
    <row r="10" spans="2:17" x14ac:dyDescent="0.45">
      <c r="B10" t="s">
        <v>58</v>
      </c>
      <c r="C10" t="s">
        <v>60</v>
      </c>
      <c r="D10">
        <v>0.5</v>
      </c>
      <c r="E10">
        <v>0.75</v>
      </c>
      <c r="F10">
        <v>8</v>
      </c>
      <c r="G10">
        <v>5</v>
      </c>
      <c r="H10">
        <v>6.25</v>
      </c>
      <c r="I10">
        <v>35</v>
      </c>
      <c r="J10">
        <v>8</v>
      </c>
      <c r="K10">
        <v>8</v>
      </c>
      <c r="L10">
        <v>0.3</v>
      </c>
      <c r="M10">
        <v>4</v>
      </c>
      <c r="N10">
        <v>2</v>
      </c>
      <c r="O10">
        <v>2</v>
      </c>
      <c r="P10">
        <f>Table1[[#This Row],[knockback]]/Table1[[#This Row],[fire delay]]</f>
        <v>12.5</v>
      </c>
      <c r="Q10">
        <f>Table1[[#This Row],[recoil]]/Table1[[#This Row],[recoil recovery]]/Table1[[#This Row],[fire delay]]</f>
        <v>8.75</v>
      </c>
    </row>
    <row r="11" spans="2:17" x14ac:dyDescent="0.45">
      <c r="B11" t="s">
        <v>12</v>
      </c>
      <c r="C11" s="1">
        <v>1911</v>
      </c>
      <c r="D11">
        <v>0.15</v>
      </c>
      <c r="E11">
        <v>0.4</v>
      </c>
      <c r="F11">
        <v>9.5</v>
      </c>
      <c r="G11">
        <v>18</v>
      </c>
      <c r="H11">
        <v>6</v>
      </c>
      <c r="I11">
        <v>22</v>
      </c>
      <c r="J11">
        <v>14</v>
      </c>
      <c r="K11">
        <v>1</v>
      </c>
      <c r="L11">
        <v>1.67E-2</v>
      </c>
      <c r="M11">
        <v>5</v>
      </c>
      <c r="N11">
        <v>1</v>
      </c>
      <c r="O11">
        <v>0</v>
      </c>
      <c r="P11">
        <f>Table1[[#This Row],[knockback]]/Table1[[#This Row],[fire delay]]</f>
        <v>40</v>
      </c>
      <c r="Q11">
        <f>Table1[[#This Row],[recoil]]/Table1[[#This Row],[recoil recovery]]/Table1[[#This Row],[fire delay]]</f>
        <v>10.476190476190476</v>
      </c>
    </row>
    <row r="12" spans="2:17" x14ac:dyDescent="0.45">
      <c r="B12" t="s">
        <v>41</v>
      </c>
      <c r="C12" t="s">
        <v>42</v>
      </c>
      <c r="D12">
        <v>0.5</v>
      </c>
      <c r="E12">
        <v>0.5</v>
      </c>
      <c r="F12">
        <v>19</v>
      </c>
      <c r="G12">
        <v>18</v>
      </c>
      <c r="H12">
        <v>12</v>
      </c>
      <c r="I12">
        <v>42</v>
      </c>
      <c r="J12">
        <v>8</v>
      </c>
      <c r="K12">
        <v>1</v>
      </c>
      <c r="L12">
        <v>0.05</v>
      </c>
      <c r="M12">
        <v>-5</v>
      </c>
      <c r="N12">
        <v>1</v>
      </c>
      <c r="O12">
        <v>0</v>
      </c>
      <c r="P12">
        <f>Table1[[#This Row],[knockback]]/Table1[[#This Row],[fire delay]]</f>
        <v>24</v>
      </c>
      <c r="Q12">
        <f>Table1[[#This Row],[recoil]]/Table1[[#This Row],[recoil recovery]]/Table1[[#This Row],[fire delay]]</f>
        <v>10.5</v>
      </c>
    </row>
    <row r="13" spans="2:17" x14ac:dyDescent="0.45">
      <c r="B13" t="s">
        <v>63</v>
      </c>
      <c r="C13" t="s">
        <v>64</v>
      </c>
      <c r="D13">
        <v>9.5000000000000001E-2</v>
      </c>
      <c r="E13">
        <v>9.5000000000000001E-2</v>
      </c>
      <c r="F13">
        <v>7.5</v>
      </c>
      <c r="G13">
        <v>12</v>
      </c>
      <c r="H13">
        <v>6</v>
      </c>
      <c r="I13">
        <v>9</v>
      </c>
      <c r="J13">
        <v>8</v>
      </c>
      <c r="K13">
        <v>1</v>
      </c>
      <c r="L13">
        <v>0.15</v>
      </c>
      <c r="M13">
        <v>3</v>
      </c>
      <c r="N13">
        <v>0</v>
      </c>
      <c r="O13">
        <v>1</v>
      </c>
      <c r="P13">
        <f>Table1[[#This Row],[knockback]]/Table1[[#This Row],[fire delay]]</f>
        <v>63.157894736842103</v>
      </c>
      <c r="Q13">
        <f>Table1[[#This Row],[recoil]]/Table1[[#This Row],[recoil recovery]]/Table1[[#This Row],[fire delay]]</f>
        <v>11.842105263157894</v>
      </c>
    </row>
    <row r="14" spans="2:17" x14ac:dyDescent="0.45">
      <c r="B14" t="s">
        <v>52</v>
      </c>
      <c r="C14" t="s">
        <v>52</v>
      </c>
      <c r="D14">
        <v>0.25</v>
      </c>
      <c r="E14">
        <v>0.33</v>
      </c>
      <c r="F14">
        <v>12</v>
      </c>
      <c r="G14">
        <v>18</v>
      </c>
      <c r="H14">
        <v>8</v>
      </c>
      <c r="I14">
        <v>30</v>
      </c>
      <c r="J14">
        <v>10</v>
      </c>
      <c r="K14">
        <v>1</v>
      </c>
      <c r="L14">
        <v>7.0000000000000007E-2</v>
      </c>
      <c r="M14">
        <v>1</v>
      </c>
      <c r="N14">
        <v>1</v>
      </c>
      <c r="O14">
        <v>0</v>
      </c>
      <c r="P14">
        <f>Table1[[#This Row],[knockback]]/Table1[[#This Row],[fire delay]]</f>
        <v>32</v>
      </c>
      <c r="Q14">
        <f>Table1[[#This Row],[recoil]]/Table1[[#This Row],[recoil recovery]]/Table1[[#This Row],[fire delay]]</f>
        <v>12</v>
      </c>
    </row>
    <row r="15" spans="2:17" x14ac:dyDescent="0.45">
      <c r="B15" t="s">
        <v>50</v>
      </c>
      <c r="C15" t="s">
        <v>51</v>
      </c>
      <c r="D15">
        <v>0.05</v>
      </c>
      <c r="E15">
        <v>0.05</v>
      </c>
      <c r="F15">
        <v>5</v>
      </c>
      <c r="G15">
        <v>9</v>
      </c>
      <c r="H15">
        <v>6</v>
      </c>
      <c r="I15">
        <v>5</v>
      </c>
      <c r="J15">
        <v>8</v>
      </c>
      <c r="K15">
        <v>1</v>
      </c>
      <c r="L15">
        <v>0.09</v>
      </c>
      <c r="M15">
        <v>6</v>
      </c>
      <c r="N15">
        <v>0</v>
      </c>
      <c r="O15">
        <v>1</v>
      </c>
      <c r="P15">
        <f>Table1[[#This Row],[knockback]]/Table1[[#This Row],[fire delay]]</f>
        <v>120</v>
      </c>
      <c r="Q15">
        <f>Table1[[#This Row],[recoil]]/Table1[[#This Row],[recoil recovery]]/Table1[[#This Row],[fire delay]]</f>
        <v>12.5</v>
      </c>
    </row>
    <row r="16" spans="2:17" x14ac:dyDescent="0.45">
      <c r="B16" t="s">
        <v>27</v>
      </c>
      <c r="C16" t="s">
        <v>17</v>
      </c>
      <c r="D16">
        <v>0.2</v>
      </c>
      <c r="E16">
        <v>0.2</v>
      </c>
      <c r="F16">
        <v>20</v>
      </c>
      <c r="G16">
        <v>5</v>
      </c>
      <c r="H16">
        <v>22</v>
      </c>
      <c r="I16">
        <v>18</v>
      </c>
      <c r="J16">
        <v>7</v>
      </c>
      <c r="K16">
        <v>1</v>
      </c>
      <c r="L16">
        <v>0.05</v>
      </c>
      <c r="M16">
        <v>7</v>
      </c>
      <c r="N16">
        <v>2</v>
      </c>
      <c r="O16">
        <v>2</v>
      </c>
      <c r="P16">
        <f>Table1[[#This Row],[knockback]]/Table1[[#This Row],[fire delay]]</f>
        <v>110</v>
      </c>
      <c r="Q16">
        <f>Table1[[#This Row],[recoil]]/Table1[[#This Row],[recoil recovery]]/Table1[[#This Row],[fire delay]]</f>
        <v>12.857142857142858</v>
      </c>
    </row>
    <row r="17" spans="2:17" x14ac:dyDescent="0.45">
      <c r="B17" t="s">
        <v>49</v>
      </c>
      <c r="C17" t="s">
        <v>49</v>
      </c>
      <c r="D17">
        <v>0.12</v>
      </c>
      <c r="E17">
        <v>0.33</v>
      </c>
      <c r="F17">
        <v>8</v>
      </c>
      <c r="G17">
        <v>20</v>
      </c>
      <c r="H17">
        <v>4</v>
      </c>
      <c r="I17">
        <v>19</v>
      </c>
      <c r="J17">
        <v>12</v>
      </c>
      <c r="K17">
        <v>1</v>
      </c>
      <c r="L17">
        <v>0.02</v>
      </c>
      <c r="M17">
        <v>1</v>
      </c>
      <c r="N17">
        <v>1</v>
      </c>
      <c r="O17">
        <v>0</v>
      </c>
      <c r="P17">
        <f>Table1[[#This Row],[knockback]]/Table1[[#This Row],[fire delay]]</f>
        <v>33.333333333333336</v>
      </c>
      <c r="Q17">
        <f>Table1[[#This Row],[recoil]]/Table1[[#This Row],[recoil recovery]]/Table1[[#This Row],[fire delay]]</f>
        <v>13.194444444444445</v>
      </c>
    </row>
    <row r="18" spans="2:17" x14ac:dyDescent="0.45">
      <c r="B18" t="s">
        <v>26</v>
      </c>
      <c r="C18" t="s">
        <v>30</v>
      </c>
      <c r="D18">
        <v>0.09</v>
      </c>
      <c r="E18">
        <v>0.315</v>
      </c>
      <c r="F18">
        <v>7</v>
      </c>
      <c r="G18">
        <v>19</v>
      </c>
      <c r="H18">
        <v>3.6</v>
      </c>
      <c r="I18">
        <v>18</v>
      </c>
      <c r="J18">
        <v>14</v>
      </c>
      <c r="K18">
        <v>1</v>
      </c>
      <c r="L18">
        <v>1.4999999999999999E-2</v>
      </c>
      <c r="M18">
        <v>1</v>
      </c>
      <c r="N18">
        <v>1</v>
      </c>
      <c r="O18">
        <v>0</v>
      </c>
      <c r="P18">
        <f>Table1[[#This Row],[knockback]]/Table1[[#This Row],[fire delay]]</f>
        <v>40</v>
      </c>
      <c r="Q18">
        <f>Table1[[#This Row],[recoil]]/Table1[[#This Row],[recoil recovery]]/Table1[[#This Row],[fire delay]]</f>
        <v>14.285714285714286</v>
      </c>
    </row>
    <row r="19" spans="2:17" x14ac:dyDescent="0.45">
      <c r="B19" t="s">
        <v>18</v>
      </c>
      <c r="C19" t="s">
        <v>18</v>
      </c>
      <c r="D19">
        <v>0.08</v>
      </c>
      <c r="E19">
        <v>0.25</v>
      </c>
      <c r="F19">
        <v>13</v>
      </c>
      <c r="G19">
        <v>20</v>
      </c>
      <c r="H19">
        <v>12</v>
      </c>
      <c r="I19">
        <v>20</v>
      </c>
      <c r="J19">
        <v>15</v>
      </c>
      <c r="K19">
        <v>1</v>
      </c>
      <c r="L19">
        <v>0.08</v>
      </c>
      <c r="M19">
        <v>2</v>
      </c>
      <c r="N19">
        <v>1</v>
      </c>
      <c r="O19">
        <v>0</v>
      </c>
      <c r="P19">
        <f>Table1[[#This Row],[knockback]]/Table1[[#This Row],[fire delay]]</f>
        <v>150</v>
      </c>
      <c r="Q19">
        <f>Table1[[#This Row],[recoil]]/Table1[[#This Row],[recoil recovery]]/Table1[[#This Row],[fire delay]]</f>
        <v>16.666666666666664</v>
      </c>
    </row>
    <row r="20" spans="2:17" x14ac:dyDescent="0.45">
      <c r="B20" t="s">
        <v>59</v>
      </c>
      <c r="C20" t="s">
        <v>57</v>
      </c>
      <c r="D20">
        <v>0.3</v>
      </c>
      <c r="E20">
        <v>0.33</v>
      </c>
      <c r="F20">
        <v>7.5</v>
      </c>
      <c r="G20">
        <v>12</v>
      </c>
      <c r="H20">
        <v>6.25</v>
      </c>
      <c r="I20">
        <v>45</v>
      </c>
      <c r="J20">
        <v>9</v>
      </c>
      <c r="K20">
        <v>10</v>
      </c>
      <c r="L20">
        <v>0.3</v>
      </c>
      <c r="M20">
        <v>5</v>
      </c>
      <c r="N20">
        <v>2</v>
      </c>
      <c r="O20">
        <v>0</v>
      </c>
      <c r="P20">
        <f>Table1[[#This Row],[knockback]]/Table1[[#This Row],[fire delay]]</f>
        <v>20.833333333333336</v>
      </c>
      <c r="Q20">
        <f>Table1[[#This Row],[recoil]]/Table1[[#This Row],[recoil recovery]]/Table1[[#This Row],[fire delay]]</f>
        <v>16.666666666666668</v>
      </c>
    </row>
    <row r="21" spans="2:17" x14ac:dyDescent="0.45">
      <c r="B21" t="s">
        <v>45</v>
      </c>
      <c r="C21" t="s">
        <v>46</v>
      </c>
      <c r="D21">
        <v>6.3E-2</v>
      </c>
      <c r="E21">
        <v>6.3E-2</v>
      </c>
      <c r="F21">
        <v>5.2</v>
      </c>
      <c r="G21">
        <v>8</v>
      </c>
      <c r="H21">
        <v>5.5</v>
      </c>
      <c r="I21">
        <v>9</v>
      </c>
      <c r="J21">
        <v>8</v>
      </c>
      <c r="K21">
        <v>1</v>
      </c>
      <c r="L21">
        <v>0.02</v>
      </c>
      <c r="M21">
        <v>5</v>
      </c>
      <c r="N21">
        <v>0</v>
      </c>
      <c r="O21">
        <v>1</v>
      </c>
      <c r="P21">
        <f>Table1[[#This Row],[knockback]]/Table1[[#This Row],[fire delay]]</f>
        <v>87.301587301587304</v>
      </c>
      <c r="Q21">
        <f>Table1[[#This Row],[recoil]]/Table1[[#This Row],[recoil recovery]]/Table1[[#This Row],[fire delay]]</f>
        <v>17.857142857142858</v>
      </c>
    </row>
    <row r="22" spans="2:17" x14ac:dyDescent="0.45">
      <c r="B22" t="s">
        <v>37</v>
      </c>
      <c r="C22" t="s">
        <v>38</v>
      </c>
      <c r="D22">
        <v>0.08</v>
      </c>
      <c r="E22">
        <v>0.08</v>
      </c>
      <c r="F22">
        <v>9.5</v>
      </c>
      <c r="G22">
        <v>7</v>
      </c>
      <c r="H22">
        <v>10</v>
      </c>
      <c r="I22">
        <v>12</v>
      </c>
      <c r="J22">
        <v>8</v>
      </c>
      <c r="K22">
        <v>1</v>
      </c>
      <c r="L22">
        <v>3.5000000000000003E-2</v>
      </c>
      <c r="M22">
        <v>7</v>
      </c>
      <c r="N22">
        <v>1</v>
      </c>
      <c r="O22">
        <v>1</v>
      </c>
      <c r="P22">
        <f>Table1[[#This Row],[knockback]]/Table1[[#This Row],[fire delay]]</f>
        <v>125</v>
      </c>
      <c r="Q22">
        <f>Table1[[#This Row],[recoil]]/Table1[[#This Row],[recoil recovery]]/Table1[[#This Row],[fire delay]]</f>
        <v>18.75</v>
      </c>
    </row>
    <row r="23" spans="2:17" x14ac:dyDescent="0.45">
      <c r="B23" t="s">
        <v>15</v>
      </c>
      <c r="C23" t="s">
        <v>16</v>
      </c>
      <c r="D23">
        <v>6.7699999999999996E-2</v>
      </c>
      <c r="E23">
        <v>6.7699999999999996E-2</v>
      </c>
      <c r="F23">
        <v>6</v>
      </c>
      <c r="G23">
        <v>10</v>
      </c>
      <c r="H23">
        <v>4.5</v>
      </c>
      <c r="I23">
        <v>11</v>
      </c>
      <c r="J23">
        <v>8</v>
      </c>
      <c r="K23">
        <v>1</v>
      </c>
      <c r="L23">
        <v>0.1</v>
      </c>
      <c r="M23">
        <v>4</v>
      </c>
      <c r="N23">
        <v>0</v>
      </c>
      <c r="O23">
        <v>0</v>
      </c>
      <c r="P23">
        <f>Table1[[#This Row],[knockback]]/Table1[[#This Row],[fire delay]]</f>
        <v>66.469719350073859</v>
      </c>
      <c r="Q23">
        <f>Table1[[#This Row],[recoil]]/Table1[[#This Row],[recoil recovery]]/Table1[[#This Row],[fire delay]]</f>
        <v>20.310192023633679</v>
      </c>
    </row>
    <row r="24" spans="2:17" x14ac:dyDescent="0.45">
      <c r="B24" t="s">
        <v>23</v>
      </c>
      <c r="C24" t="s">
        <v>24</v>
      </c>
      <c r="D24">
        <v>0.08</v>
      </c>
      <c r="E24">
        <v>0.08</v>
      </c>
      <c r="F24">
        <v>10</v>
      </c>
      <c r="G24">
        <v>8.1999999999999993</v>
      </c>
      <c r="H24">
        <v>9</v>
      </c>
      <c r="I24">
        <v>10</v>
      </c>
      <c r="J24">
        <v>6</v>
      </c>
      <c r="K24">
        <v>1</v>
      </c>
      <c r="L24">
        <v>0.1</v>
      </c>
      <c r="M24">
        <v>6</v>
      </c>
      <c r="N24">
        <v>1</v>
      </c>
      <c r="O24">
        <v>1</v>
      </c>
      <c r="P24">
        <f>Table1[[#This Row],[knockback]]/Table1[[#This Row],[fire delay]]</f>
        <v>112.5</v>
      </c>
      <c r="Q24">
        <f>Table1[[#This Row],[recoil]]/Table1[[#This Row],[recoil recovery]]/Table1[[#This Row],[fire delay]]</f>
        <v>20.833333333333332</v>
      </c>
    </row>
    <row r="25" spans="2:17" x14ac:dyDescent="0.45">
      <c r="B25" t="s">
        <v>73</v>
      </c>
      <c r="C25" t="s">
        <v>74</v>
      </c>
      <c r="D25">
        <v>0.1</v>
      </c>
      <c r="E25">
        <v>0.1</v>
      </c>
      <c r="F25">
        <v>8</v>
      </c>
      <c r="G25">
        <v>6</v>
      </c>
      <c r="H25">
        <v>5</v>
      </c>
      <c r="I25">
        <v>13</v>
      </c>
      <c r="J25">
        <v>6</v>
      </c>
      <c r="K25">
        <v>1</v>
      </c>
      <c r="L25">
        <v>0.06</v>
      </c>
      <c r="M25">
        <v>1</v>
      </c>
      <c r="N25">
        <v>0</v>
      </c>
      <c r="O25">
        <v>1</v>
      </c>
      <c r="P25">
        <f>Table1[[#This Row],[knockback]]/Table1[[#This Row],[fire delay]]</f>
        <v>50</v>
      </c>
      <c r="Q25">
        <f>Table1[[#This Row],[recoil]]/Table1[[#This Row],[recoil recovery]]/Table1[[#This Row],[fire delay]]</f>
        <v>21.666666666666664</v>
      </c>
    </row>
    <row r="26" spans="2:17" x14ac:dyDescent="0.45">
      <c r="B26" t="s">
        <v>19</v>
      </c>
      <c r="C26" t="s">
        <v>20</v>
      </c>
      <c r="D26">
        <v>6.6600000000000006E-2</v>
      </c>
      <c r="E26">
        <v>6.6600000000000006E-2</v>
      </c>
      <c r="F26">
        <v>8.5</v>
      </c>
      <c r="G26">
        <v>8.5</v>
      </c>
      <c r="H26">
        <v>11</v>
      </c>
      <c r="I26">
        <v>12</v>
      </c>
      <c r="J26">
        <v>8</v>
      </c>
      <c r="K26">
        <v>1</v>
      </c>
      <c r="L26">
        <v>0.05</v>
      </c>
      <c r="M26">
        <v>7</v>
      </c>
      <c r="N26">
        <v>1</v>
      </c>
      <c r="O26">
        <v>1</v>
      </c>
      <c r="P26">
        <f>Table1[[#This Row],[knockback]]/Table1[[#This Row],[fire delay]]</f>
        <v>165.16516516516515</v>
      </c>
      <c r="Q26">
        <f>Table1[[#This Row],[recoil]]/Table1[[#This Row],[recoil recovery]]/Table1[[#This Row],[fire delay]]</f>
        <v>22.522522522522522</v>
      </c>
    </row>
    <row r="27" spans="2:17" x14ac:dyDescent="0.45">
      <c r="B27" t="s">
        <v>79</v>
      </c>
      <c r="C27" t="s">
        <v>80</v>
      </c>
      <c r="D27">
        <v>7.4999999999999997E-2</v>
      </c>
      <c r="E27">
        <v>7.4999999999999997E-2</v>
      </c>
      <c r="F27">
        <v>6.5</v>
      </c>
      <c r="G27">
        <v>14</v>
      </c>
      <c r="H27">
        <v>5</v>
      </c>
      <c r="I27">
        <v>12</v>
      </c>
      <c r="J27">
        <v>7</v>
      </c>
      <c r="K27">
        <v>1</v>
      </c>
      <c r="L27">
        <v>0.08</v>
      </c>
      <c r="M27">
        <v>3</v>
      </c>
      <c r="N27">
        <v>0</v>
      </c>
      <c r="O27">
        <v>1</v>
      </c>
      <c r="P27">
        <f>Table1[[#This Row],[knockback]]/Table1[[#This Row],[fire delay]]</f>
        <v>66.666666666666671</v>
      </c>
      <c r="Q27">
        <f>Table1[[#This Row],[recoil]]/Table1[[#This Row],[recoil recovery]]/Table1[[#This Row],[fire delay]]</f>
        <v>22.857142857142858</v>
      </c>
    </row>
    <row r="28" spans="2:17" x14ac:dyDescent="0.45">
      <c r="B28" t="s">
        <v>25</v>
      </c>
      <c r="C28" t="s">
        <v>25</v>
      </c>
      <c r="D28">
        <v>0.25</v>
      </c>
      <c r="E28">
        <v>0.5</v>
      </c>
      <c r="F28">
        <v>38</v>
      </c>
      <c r="G28">
        <v>5</v>
      </c>
      <c r="H28">
        <v>50</v>
      </c>
      <c r="I28">
        <v>25</v>
      </c>
      <c r="J28">
        <v>4</v>
      </c>
      <c r="K28">
        <v>1</v>
      </c>
      <c r="L28">
        <v>1.67E-2</v>
      </c>
      <c r="M28">
        <v>8</v>
      </c>
      <c r="N28">
        <v>2</v>
      </c>
      <c r="O28">
        <v>2</v>
      </c>
      <c r="P28">
        <f>Table1[[#This Row],[knockback]]/Table1[[#This Row],[fire delay]]</f>
        <v>200</v>
      </c>
      <c r="Q28">
        <f>Table1[[#This Row],[recoil]]/Table1[[#This Row],[recoil recovery]]/Table1[[#This Row],[fire delay]]</f>
        <v>25</v>
      </c>
    </row>
    <row r="29" spans="2:17" x14ac:dyDescent="0.45">
      <c r="B29" t="s">
        <v>39</v>
      </c>
      <c r="C29" t="s">
        <v>40</v>
      </c>
      <c r="D29">
        <v>0.08</v>
      </c>
      <c r="E29">
        <v>0.28000000000000003</v>
      </c>
      <c r="F29">
        <v>11</v>
      </c>
      <c r="G29">
        <v>8</v>
      </c>
      <c r="H29">
        <v>12</v>
      </c>
      <c r="I29">
        <v>12</v>
      </c>
      <c r="J29">
        <v>6</v>
      </c>
      <c r="K29">
        <v>1</v>
      </c>
      <c r="L29">
        <v>0.04</v>
      </c>
      <c r="M29">
        <v>7</v>
      </c>
      <c r="N29">
        <v>1</v>
      </c>
      <c r="O29">
        <v>1</v>
      </c>
      <c r="P29">
        <f>Table1[[#This Row],[knockback]]/Table1[[#This Row],[fire delay]]</f>
        <v>150</v>
      </c>
      <c r="Q29">
        <f>Table1[[#This Row],[recoil]]/Table1[[#This Row],[recoil recovery]]/Table1[[#This Row],[fire delay]]</f>
        <v>25</v>
      </c>
    </row>
    <row r="30" spans="2:17" x14ac:dyDescent="0.45">
      <c r="B30" t="s">
        <v>29</v>
      </c>
      <c r="C30" t="s">
        <v>13</v>
      </c>
      <c r="D30">
        <v>0.1</v>
      </c>
      <c r="E30">
        <v>0.1</v>
      </c>
      <c r="F30">
        <v>10</v>
      </c>
      <c r="G30">
        <v>7</v>
      </c>
      <c r="H30">
        <v>12</v>
      </c>
      <c r="I30">
        <v>14</v>
      </c>
      <c r="J30">
        <v>5.5</v>
      </c>
      <c r="K30">
        <v>1</v>
      </c>
      <c r="L30">
        <v>0.05</v>
      </c>
      <c r="M30">
        <v>7</v>
      </c>
      <c r="N30">
        <v>1</v>
      </c>
      <c r="O30">
        <v>1</v>
      </c>
      <c r="P30">
        <f>Table1[[#This Row],[knockback]]/Table1[[#This Row],[fire delay]]</f>
        <v>120</v>
      </c>
      <c r="Q30">
        <f>Table1[[#This Row],[recoil]]/Table1[[#This Row],[recoil recovery]]/Table1[[#This Row],[fire delay]]</f>
        <v>25.454545454545453</v>
      </c>
    </row>
    <row r="31" spans="2:17" x14ac:dyDescent="0.45">
      <c r="B31" t="s">
        <v>55</v>
      </c>
      <c r="C31" t="s">
        <v>56</v>
      </c>
      <c r="D31">
        <v>0.1</v>
      </c>
      <c r="E31">
        <v>0.2</v>
      </c>
      <c r="F31">
        <v>10</v>
      </c>
      <c r="G31">
        <v>5</v>
      </c>
      <c r="H31">
        <v>6.25</v>
      </c>
      <c r="I31">
        <v>26</v>
      </c>
      <c r="J31">
        <v>10</v>
      </c>
      <c r="K31">
        <v>5</v>
      </c>
      <c r="L31">
        <v>0.22</v>
      </c>
      <c r="M31">
        <v>8</v>
      </c>
      <c r="N31">
        <v>2</v>
      </c>
      <c r="O31">
        <v>2</v>
      </c>
      <c r="P31">
        <f>Table1[[#This Row],[knockback]]/Table1[[#This Row],[fire delay]]</f>
        <v>62.5</v>
      </c>
      <c r="Q31">
        <f>Table1[[#This Row],[recoil]]/Table1[[#This Row],[recoil recovery]]/Table1[[#This Row],[fire delay]]</f>
        <v>26</v>
      </c>
    </row>
    <row r="32" spans="2:17" x14ac:dyDescent="0.45">
      <c r="B32" t="s">
        <v>77</v>
      </c>
      <c r="C32" t="s">
        <v>78</v>
      </c>
      <c r="D32">
        <v>7.0000000000000007E-2</v>
      </c>
      <c r="E32">
        <v>7.0000000000000007E-2</v>
      </c>
      <c r="F32">
        <v>6.5</v>
      </c>
      <c r="G32">
        <v>10</v>
      </c>
      <c r="H32">
        <v>6</v>
      </c>
      <c r="I32">
        <v>13</v>
      </c>
      <c r="J32">
        <v>7</v>
      </c>
      <c r="K32">
        <v>1</v>
      </c>
      <c r="L32">
        <v>0.15</v>
      </c>
      <c r="M32">
        <v>6</v>
      </c>
      <c r="N32">
        <v>0</v>
      </c>
      <c r="O32">
        <v>1</v>
      </c>
      <c r="P32">
        <f>Table1[[#This Row],[knockback]]/Table1[[#This Row],[fire delay]]</f>
        <v>85.714285714285708</v>
      </c>
      <c r="Q32">
        <f>Table1[[#This Row],[recoil]]/Table1[[#This Row],[recoil recovery]]/Table1[[#This Row],[fire delay]]</f>
        <v>26.530612244897959</v>
      </c>
    </row>
    <row r="33" spans="2:17" x14ac:dyDescent="0.45">
      <c r="B33" t="s">
        <v>28</v>
      </c>
      <c r="C33" t="s">
        <v>14</v>
      </c>
      <c r="D33">
        <v>0.09</v>
      </c>
      <c r="E33">
        <v>0.09</v>
      </c>
      <c r="F33">
        <v>8.5</v>
      </c>
      <c r="G33">
        <v>9</v>
      </c>
      <c r="H33">
        <v>11</v>
      </c>
      <c r="I33">
        <v>12</v>
      </c>
      <c r="J33">
        <v>5</v>
      </c>
      <c r="K33">
        <v>1</v>
      </c>
      <c r="L33">
        <v>6.5000000000000002E-2</v>
      </c>
      <c r="M33">
        <v>7</v>
      </c>
      <c r="N33">
        <v>1</v>
      </c>
      <c r="O33">
        <v>1</v>
      </c>
      <c r="P33">
        <f>Table1[[#This Row],[knockback]]/Table1[[#This Row],[fire delay]]</f>
        <v>122.22222222222223</v>
      </c>
      <c r="Q33">
        <f>Table1[[#This Row],[recoil]]/Table1[[#This Row],[recoil recovery]]/Table1[[#This Row],[fire delay]]</f>
        <v>26.666666666666668</v>
      </c>
    </row>
    <row r="34" spans="2:17" x14ac:dyDescent="0.45">
      <c r="B34" t="s">
        <v>65</v>
      </c>
      <c r="C34" t="s">
        <v>66</v>
      </c>
      <c r="D34">
        <v>2</v>
      </c>
      <c r="E34">
        <v>4</v>
      </c>
      <c r="F34">
        <v>50</v>
      </c>
      <c r="G34">
        <v>3</v>
      </c>
      <c r="H34">
        <v>200</v>
      </c>
      <c r="I34">
        <v>60</v>
      </c>
      <c r="J34">
        <v>1</v>
      </c>
      <c r="K34">
        <v>1</v>
      </c>
      <c r="L34">
        <v>0</v>
      </c>
      <c r="M34">
        <v>10</v>
      </c>
      <c r="N34">
        <v>2</v>
      </c>
      <c r="O34">
        <v>2</v>
      </c>
      <c r="P34">
        <f>Table1[[#This Row],[knockback]]/Table1[[#This Row],[fire delay]]</f>
        <v>100</v>
      </c>
      <c r="Q34">
        <f>Table1[[#This Row],[recoil]]/Table1[[#This Row],[recoil recovery]]/Table1[[#This Row],[fire delay]]</f>
        <v>30</v>
      </c>
    </row>
    <row r="35" spans="2:17" x14ac:dyDescent="0.45">
      <c r="B35" t="s">
        <v>34</v>
      </c>
      <c r="C35" t="s">
        <v>33</v>
      </c>
      <c r="D35">
        <v>0.33</v>
      </c>
      <c r="E35">
        <v>0.45</v>
      </c>
      <c r="F35">
        <v>25</v>
      </c>
      <c r="G35">
        <v>12</v>
      </c>
      <c r="H35">
        <v>24</v>
      </c>
      <c r="I35">
        <v>90</v>
      </c>
      <c r="J35">
        <v>8</v>
      </c>
      <c r="K35">
        <v>1</v>
      </c>
      <c r="L35">
        <v>3.3000000000000002E-2</v>
      </c>
      <c r="M35">
        <v>5</v>
      </c>
      <c r="N35">
        <v>2</v>
      </c>
      <c r="O35">
        <v>0</v>
      </c>
      <c r="P35">
        <f>Table1[[#This Row],[knockback]]/Table1[[#This Row],[fire delay]]</f>
        <v>72.72727272727272</v>
      </c>
      <c r="Q35">
        <f>Table1[[#This Row],[recoil]]/Table1[[#This Row],[recoil recovery]]/Table1[[#This Row],[fire delay]]</f>
        <v>34.090909090909086</v>
      </c>
    </row>
    <row r="36" spans="2:17" x14ac:dyDescent="0.45">
      <c r="B36" t="s">
        <v>69</v>
      </c>
      <c r="C36" t="s">
        <v>70</v>
      </c>
      <c r="D36">
        <v>0.15</v>
      </c>
      <c r="E36">
        <v>0.36</v>
      </c>
      <c r="F36">
        <v>24</v>
      </c>
      <c r="G36">
        <v>6</v>
      </c>
      <c r="H36">
        <v>28</v>
      </c>
      <c r="I36">
        <v>25</v>
      </c>
      <c r="J36">
        <v>4</v>
      </c>
      <c r="K36">
        <v>1</v>
      </c>
      <c r="L36">
        <v>0.01</v>
      </c>
      <c r="M36">
        <v>8</v>
      </c>
      <c r="N36">
        <v>2</v>
      </c>
      <c r="O36">
        <v>2</v>
      </c>
      <c r="P36">
        <f>Table1[[#This Row],[knockback]]/Table1[[#This Row],[fire delay]]</f>
        <v>186.66666666666669</v>
      </c>
      <c r="Q36">
        <f>Table1[[#This Row],[recoil]]/Table1[[#This Row],[recoil recovery]]/Table1[[#This Row],[fire delay]]</f>
        <v>41.666666666666671</v>
      </c>
    </row>
    <row r="37" spans="2:17" x14ac:dyDescent="0.45">
      <c r="B37" t="s">
        <v>75</v>
      </c>
      <c r="C37" t="s">
        <v>76</v>
      </c>
      <c r="D37">
        <v>0.2</v>
      </c>
      <c r="E37">
        <v>0.3</v>
      </c>
      <c r="F37">
        <v>18</v>
      </c>
      <c r="G37">
        <v>5</v>
      </c>
      <c r="H37">
        <v>30</v>
      </c>
      <c r="I37">
        <v>30</v>
      </c>
      <c r="J37">
        <v>3</v>
      </c>
      <c r="K37">
        <v>1</v>
      </c>
      <c r="L37">
        <v>0</v>
      </c>
      <c r="M37">
        <v>-5</v>
      </c>
      <c r="N37">
        <v>2</v>
      </c>
      <c r="O37">
        <v>2</v>
      </c>
      <c r="P37">
        <f>Table1[[#This Row],[knockback]]/Table1[[#This Row],[fire delay]]</f>
        <v>150</v>
      </c>
      <c r="Q37">
        <f>Table1[[#This Row],[recoil]]/Table1[[#This Row],[recoil recovery]]/Table1[[#This Row],[fire delay]]</f>
        <v>50</v>
      </c>
    </row>
    <row r="38" spans="2:17" x14ac:dyDescent="0.45">
      <c r="B38" t="s">
        <v>67</v>
      </c>
      <c r="C38" t="s">
        <v>68</v>
      </c>
      <c r="D38">
        <v>0.04</v>
      </c>
      <c r="E38">
        <v>0.2</v>
      </c>
      <c r="F38">
        <v>11</v>
      </c>
      <c r="G38">
        <v>19</v>
      </c>
      <c r="H38">
        <v>8</v>
      </c>
      <c r="I38">
        <v>30</v>
      </c>
      <c r="J38">
        <v>12</v>
      </c>
      <c r="K38">
        <v>1</v>
      </c>
      <c r="L38">
        <v>0.11</v>
      </c>
      <c r="M38">
        <v>1</v>
      </c>
      <c r="N38">
        <v>1</v>
      </c>
      <c r="O38">
        <v>0</v>
      </c>
      <c r="P38">
        <f>Table1[[#This Row],[knockback]]/Table1[[#This Row],[fire delay]]</f>
        <v>200</v>
      </c>
      <c r="Q38">
        <f>Table1[[#This Row],[recoil]]/Table1[[#This Row],[recoil recovery]]/Table1[[#This Row],[fire delay]]</f>
        <v>62.5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3" ma:contentTypeDescription="Create a new document." ma:contentTypeScope="" ma:versionID="f3823cd3962fba0518e0050b89699b3c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ebd73eff6a3c35c68963ba2d725331d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53E46128-6A57-4CCB-AAB8-3E3A58DD6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B36B0E-D943-4DF1-A1DE-1AF4C724E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20309F-E013-4620-9BC1-FA3041BEFA4D}">
  <ds:schemaRefs>
    <ds:schemaRef ds:uri="3bd2448e-bc80-4060-9b44-5204c1169a85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08ceecc5-2daa-47f4-9f70-3b427bddc800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2024-02-10T00:35:22Z</dcterms:created>
  <dcterms:modified xsi:type="dcterms:W3CDTF">2026-09-29T04:28:50Z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