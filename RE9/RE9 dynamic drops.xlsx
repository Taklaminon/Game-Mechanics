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8238975E-9F0B-4999-B1AF-FA5B5BF5A3B1}" xr6:coauthVersionLast="47" xr6:coauthVersionMax="47" xr10:uidLastSave="{00000000-0000-0000-0000-000000000000}"/>
  <bookViews>
    <workbookView xWindow="-98" yWindow="-98" windowWidth="19396" windowHeight="11475" xr2:uid="{FEAB5B39-F134-4359-AC19-B63926A79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4" i="1"/>
  <c r="L5" i="1"/>
  <c r="L2" i="1"/>
  <c r="L23" i="1"/>
  <c r="L24" i="1"/>
  <c r="L25" i="1"/>
  <c r="L22" i="1"/>
  <c r="K23" i="1"/>
  <c r="K24" i="1"/>
  <c r="K25" i="1"/>
  <c r="K22" i="1"/>
  <c r="J23" i="1"/>
  <c r="J24" i="1"/>
  <c r="J25" i="1"/>
  <c r="J22" i="1"/>
  <c r="E25" i="1"/>
  <c r="E24" i="1"/>
  <c r="E23" i="1"/>
  <c r="E22" i="1"/>
  <c r="E5" i="1"/>
  <c r="E3" i="1"/>
  <c r="E4" i="1"/>
  <c r="E2" i="1"/>
</calcChain>
</file>

<file path=xl/sharedStrings.xml><?xml version="1.0" encoding="utf-8"?>
<sst xmlns="http://schemas.openxmlformats.org/spreadsheetml/2006/main" count="37" uniqueCount="27">
  <si>
    <t>threshold</t>
  </si>
  <si>
    <t>handgun ammo</t>
  </si>
  <si>
    <t>shotgun ammo</t>
  </si>
  <si>
    <t>rifle ammo</t>
  </si>
  <si>
    <t>sell price</t>
  </si>
  <si>
    <t>amount dropped (crates)</t>
  </si>
  <si>
    <t>Total bag</t>
  </si>
  <si>
    <t>machine gun ammo</t>
  </si>
  <si>
    <t>Thresh upper bound</t>
  </si>
  <si>
    <t>Thresh lower bound</t>
  </si>
  <si>
    <t>green herb</t>
  </si>
  <si>
    <t>Notes</t>
  </si>
  <si>
    <t>seems random, seems to depend on box</t>
  </si>
  <si>
    <t>only has a chance to spawn (about 50%)</t>
  </si>
  <si>
    <t>med injector</t>
  </si>
  <si>
    <t>small chance to spawn, only on red hp</t>
  </si>
  <si>
    <t>1 full heal</t>
  </si>
  <si>
    <t>zilch</t>
  </si>
  <si>
    <t>Drop Cost</t>
  </si>
  <si>
    <t>Craft Cost</t>
  </si>
  <si>
    <t>Sell Cost</t>
  </si>
  <si>
    <t>Craft small</t>
  </si>
  <si>
    <t>Craft large</t>
  </si>
  <si>
    <t>Craft scrap</t>
  </si>
  <si>
    <t>Craft amount</t>
  </si>
  <si>
    <t>shots to kill</t>
  </si>
  <si>
    <t>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</si>
</sst>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8EFF-4BAA-4B94-872C-C68A1954A0A3}">
  <dimension ref="A1:M25"/>
  <sheetViews>
    <sheetView tabSelected="1" workbookViewId="0">
      <selection activeCell="F21" sqref="F21"/>
    </sheetView>
  </sheetViews>
  <sheetFormatPr defaultRowHeight="14.25" x14ac:dyDescent="0.45"/>
  <cols>
    <col min="1" max="1" width="18.86328125" bestFit="1" customWidth="1"/>
    <col min="3" max="3" width="23.3984375" bestFit="1" customWidth="1"/>
    <col min="6" max="6" width="50.265625" customWidth="1"/>
    <col min="7" max="7" width="18.73046875" bestFit="1" customWidth="1"/>
  </cols>
  <sheetData>
    <row r="1" spans="1:12" x14ac:dyDescent="0.45">
      <c r="B1" t="s">
        <v>0</v>
      </c>
      <c r="C1" t="s">
        <v>5</v>
      </c>
      <c r="D1" t="s">
        <v>4</v>
      </c>
      <c r="E1" t="s">
        <v>6</v>
      </c>
      <c r="F1" t="s">
        <v>11</v>
      </c>
      <c r="G1" t="s">
        <v>9</v>
      </c>
      <c r="H1" t="s">
        <v>8</v>
      </c>
      <c r="K1" t="s">
        <v>26</v>
      </c>
    </row>
    <row r="2" spans="1:12" x14ac:dyDescent="0.45">
      <c r="A2" t="s">
        <v>1</v>
      </c>
      <c r="B2">
        <v>35</v>
      </c>
      <c r="C2">
        <v>4.5</v>
      </c>
      <c r="D2">
        <v>30</v>
      </c>
      <c r="E2">
        <f>C2*D2</f>
        <v>135</v>
      </c>
      <c r="F2" t="s">
        <v>12</v>
      </c>
      <c r="H2">
        <v>49</v>
      </c>
      <c r="K2">
        <v>308</v>
      </c>
      <c r="L2">
        <f>K2*C2</f>
        <v>1386</v>
      </c>
    </row>
    <row r="3" spans="1:12" x14ac:dyDescent="0.45">
      <c r="A3" t="s">
        <v>2</v>
      </c>
      <c r="B3">
        <v>15</v>
      </c>
      <c r="C3">
        <v>2</v>
      </c>
      <c r="D3">
        <v>50</v>
      </c>
      <c r="E3">
        <f t="shared" ref="E3:E5" si="0">C3*D3</f>
        <v>100</v>
      </c>
      <c r="G3">
        <v>14</v>
      </c>
      <c r="H3">
        <v>15</v>
      </c>
      <c r="K3">
        <v>2240</v>
      </c>
      <c r="L3">
        <f t="shared" ref="L3:L5" si="1">K3*C3</f>
        <v>4480</v>
      </c>
    </row>
    <row r="4" spans="1:12" x14ac:dyDescent="0.45">
      <c r="A4" t="s">
        <v>3</v>
      </c>
      <c r="B4">
        <v>15</v>
      </c>
      <c r="C4">
        <v>2</v>
      </c>
      <c r="D4">
        <v>100</v>
      </c>
      <c r="E4">
        <f t="shared" si="0"/>
        <v>200</v>
      </c>
      <c r="G4">
        <v>14</v>
      </c>
      <c r="H4">
        <v>15</v>
      </c>
      <c r="K4">
        <v>1572</v>
      </c>
      <c r="L4">
        <f t="shared" si="1"/>
        <v>3144</v>
      </c>
    </row>
    <row r="5" spans="1:12" x14ac:dyDescent="0.45">
      <c r="A5" t="s">
        <v>7</v>
      </c>
      <c r="B5">
        <v>150</v>
      </c>
      <c r="C5">
        <v>20</v>
      </c>
      <c r="D5">
        <v>20</v>
      </c>
      <c r="E5">
        <f t="shared" si="0"/>
        <v>400</v>
      </c>
      <c r="G5">
        <v>149</v>
      </c>
      <c r="H5">
        <v>150</v>
      </c>
      <c r="K5">
        <v>138</v>
      </c>
      <c r="L5">
        <f t="shared" si="1"/>
        <v>2760</v>
      </c>
    </row>
    <row r="6" spans="1:12" x14ac:dyDescent="0.45">
      <c r="A6" t="s">
        <v>10</v>
      </c>
      <c r="C6">
        <v>1</v>
      </c>
      <c r="F6" t="s">
        <v>13</v>
      </c>
      <c r="G6" t="s">
        <v>17</v>
      </c>
      <c r="H6" t="s">
        <v>16</v>
      </c>
    </row>
    <row r="7" spans="1:12" x14ac:dyDescent="0.45">
      <c r="A7" t="s">
        <v>14</v>
      </c>
      <c r="C7">
        <v>1</v>
      </c>
      <c r="F7" t="s">
        <v>15</v>
      </c>
      <c r="G7" t="s">
        <v>17</v>
      </c>
      <c r="H7" t="s">
        <v>16</v>
      </c>
    </row>
    <row r="21" spans="1:13" x14ac:dyDescent="0.45">
      <c r="B21" t="s">
        <v>0</v>
      </c>
      <c r="C21" t="s">
        <v>5</v>
      </c>
      <c r="D21" t="s">
        <v>4</v>
      </c>
      <c r="E21" t="s">
        <v>6</v>
      </c>
      <c r="F21" t="s">
        <v>21</v>
      </c>
      <c r="G21" t="s">
        <v>22</v>
      </c>
      <c r="H21" t="s">
        <v>23</v>
      </c>
      <c r="I21" t="s">
        <v>24</v>
      </c>
      <c r="J21" t="s">
        <v>20</v>
      </c>
      <c r="K21" t="s">
        <v>18</v>
      </c>
      <c r="L21" t="s">
        <v>19</v>
      </c>
      <c r="M21" t="s">
        <v>25</v>
      </c>
    </row>
    <row r="22" spans="1:13" x14ac:dyDescent="0.45">
      <c r="A22" t="s">
        <v>1</v>
      </c>
      <c r="B22">
        <v>35</v>
      </c>
      <c r="C22">
        <v>4.5</v>
      </c>
      <c r="D22">
        <v>30</v>
      </c>
      <c r="E22">
        <f>C22*D22</f>
        <v>135</v>
      </c>
      <c r="F22">
        <v>1</v>
      </c>
      <c r="G22">
        <v>0</v>
      </c>
      <c r="H22">
        <v>1</v>
      </c>
      <c r="I22">
        <v>10</v>
      </c>
      <c r="J22">
        <f>D22</f>
        <v>30</v>
      </c>
      <c r="K22">
        <f>400/C22</f>
        <v>88.888888888888886</v>
      </c>
      <c r="L22">
        <f>(F22*600+G22*300+H22*100)/I22</f>
        <v>70</v>
      </c>
      <c r="M22">
        <v>3</v>
      </c>
    </row>
    <row r="23" spans="1:13" x14ac:dyDescent="0.45">
      <c r="A23" t="s">
        <v>2</v>
      </c>
      <c r="B23">
        <v>15</v>
      </c>
      <c r="C23">
        <v>2</v>
      </c>
      <c r="D23">
        <v>50</v>
      </c>
      <c r="E23">
        <f t="shared" ref="E23:E25" si="2">C23*D23</f>
        <v>100</v>
      </c>
      <c r="F23">
        <v>0</v>
      </c>
      <c r="G23">
        <v>1</v>
      </c>
      <c r="H23">
        <v>1</v>
      </c>
      <c r="I23">
        <v>3</v>
      </c>
      <c r="J23">
        <f>D23</f>
        <v>50</v>
      </c>
      <c r="K23">
        <f>400/C23</f>
        <v>200</v>
      </c>
      <c r="L23">
        <f t="shared" ref="L23:L25" si="3">(F23*600+G23*300+H23*100)/I23</f>
        <v>133.33333333333334</v>
      </c>
      <c r="M23">
        <v>1</v>
      </c>
    </row>
    <row r="24" spans="1:13" x14ac:dyDescent="0.45">
      <c r="A24" t="s">
        <v>3</v>
      </c>
      <c r="B24">
        <v>15</v>
      </c>
      <c r="C24">
        <v>2</v>
      </c>
      <c r="D24">
        <v>100</v>
      </c>
      <c r="E24">
        <f t="shared" si="2"/>
        <v>200</v>
      </c>
      <c r="F24">
        <v>0</v>
      </c>
      <c r="G24">
        <v>1</v>
      </c>
      <c r="H24">
        <v>2</v>
      </c>
      <c r="I24">
        <v>5</v>
      </c>
      <c r="J24">
        <f>D24</f>
        <v>100</v>
      </c>
      <c r="K24">
        <f>400/C24</f>
        <v>200</v>
      </c>
      <c r="L24">
        <f t="shared" si="3"/>
        <v>100</v>
      </c>
      <c r="M24">
        <v>1</v>
      </c>
    </row>
    <row r="25" spans="1:13" x14ac:dyDescent="0.45">
      <c r="A25" t="s">
        <v>7</v>
      </c>
      <c r="B25">
        <v>150</v>
      </c>
      <c r="C25">
        <v>20</v>
      </c>
      <c r="D25">
        <v>20</v>
      </c>
      <c r="E25">
        <f t="shared" si="2"/>
        <v>400</v>
      </c>
      <c r="F25">
        <v>1</v>
      </c>
      <c r="G25">
        <v>0</v>
      </c>
      <c r="H25">
        <v>2</v>
      </c>
      <c r="I25">
        <v>40</v>
      </c>
      <c r="J25">
        <f>D25</f>
        <v>20</v>
      </c>
      <c r="K25">
        <f>400/C25</f>
        <v>20</v>
      </c>
      <c r="L25">
        <f t="shared" si="3"/>
        <v>20</v>
      </c>
      <c r="M25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745129641f03484f1ad2c65a42b95699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19a18bd7ce4e3bd0df15c7d2e99059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0876F3-E293-44A2-A033-7300E115F3DD}">
  <ds:schemaRefs>
    <ds:schemaRef ds:uri="08ceecc5-2daa-47f4-9f70-3b427bddc800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3bd2448e-bc80-4060-9b44-5204c1169a85"/>
  </ds:schemaRefs>
</ds:datastoreItem>
</file>

<file path=customXml/itemProps2.xml><?xml version="1.0" encoding="utf-8"?>
<ds:datastoreItem xmlns:ds="http://schemas.openxmlformats.org/officeDocument/2006/customXml" ds:itemID="{293913E2-6833-477C-BBFE-DD59A64C84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54212A-D2D3-438F-A567-9FD614EF9F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2026-06-08T06:53:12Z</dcterms:created>
  <dcterms:modified xsi:type="dcterms:W3CDTF">2026-09-29T04:38:06Z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