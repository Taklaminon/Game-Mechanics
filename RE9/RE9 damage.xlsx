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34204AFA-20AC-4FCB-8F61-43919DEC7FE8}" xr6:coauthVersionLast="47" xr6:coauthVersionMax="47" xr10:uidLastSave="{00000000-0000-0000-0000-000000000000}"/>
  <bookViews>
    <workbookView xWindow="-98" yWindow="-98" windowWidth="19396" windowHeight="11475" xr2:uid="{14E5A5E4-91C3-4F13-8629-CABCD14B1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1" l="1" a="1"/>
  <c r="E8" i="1" s="1"/>
  <c r="E7" i="1" a="1"/>
  <c r="E7" i="1" s="1"/>
  <c r="C8" i="1" a="1"/>
  <c r="C8" i="1" s="1"/>
  <c r="C7" i="1" a="1"/>
  <c r="C7" i="1" s="1"/>
  <c r="B7" i="1" a="1"/>
  <c r="B7" i="1" s="1"/>
  <c r="D8" i="1" a="1"/>
  <c r="D8" i="1" s="1"/>
  <c r="D7" i="1" a="1"/>
  <c r="D7" i="1" s="1"/>
  <c r="B8" i="1" a="1"/>
  <c r="B8" i="1" s="1"/>
  <c r="G3" i="1" a="1"/>
  <c r="G3" i="1" s="1"/>
  <c r="H4" i="1" a="1"/>
  <c r="H4" i="1" s="1"/>
  <c r="H5" i="1" a="1"/>
  <c r="H5" i="1" s="1"/>
  <c r="H3" i="1" a="1"/>
  <c r="H3" i="1" s="1"/>
  <c r="G5" i="1" a="1"/>
  <c r="G5" i="1" s="1"/>
  <c r="G4" i="1" a="1"/>
  <c r="G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<sst xmlns="http://schemas.openxmlformats.org/spreadsheetml/2006/main" count="16" uniqueCount="14">
  <si>
    <t>head</t>
  </si>
  <si>
    <t>torso</t>
  </si>
  <si>
    <t>legs</t>
  </si>
  <si>
    <t>focused, no charm</t>
  </si>
  <si>
    <t>unfocused, charm</t>
  </si>
  <si>
    <t>unfocused, no charm</t>
  </si>
  <si>
    <t>focused, charm</t>
  </si>
  <si>
    <t>Close needle testing, insane</t>
  </si>
  <si>
    <t>Multiplier lower bound</t>
  </si>
  <si>
    <t>Multiplier upper bound</t>
  </si>
  <si>
    <t>mult lower bound</t>
  </si>
  <si>
    <t>mult upper bound</t>
  </si>
  <si>
    <t>charm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</si>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</sst>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4888-95F2-40B2-865C-163787D0D4EC}">
  <dimension ref="A1:H8"/>
  <sheetViews>
    <sheetView tabSelected="1" workbookViewId="0">
      <selection activeCell="E7" sqref="E7"/>
    </sheetView>
  </sheetViews>
  <sheetFormatPr defaultRowHeight="14.25" x14ac:dyDescent="0.45"/>
  <cols>
    <col min="1" max="1" width="26" bestFit="1" customWidth="1"/>
    <col min="2" max="2" width="17.73046875" bestFit="1" customWidth="1"/>
    <col min="3" max="3" width="20" bestFit="1" customWidth="1"/>
    <col min="4" max="4" width="14.86328125" bestFit="1" customWidth="1"/>
    <col min="5" max="5" width="17.265625" bestFit="1" customWidth="1"/>
    <col min="7" max="7" width="21.1328125" bestFit="1" customWidth="1"/>
    <col min="8" max="8" width="21.59765625" bestFit="1" customWidth="1"/>
  </cols>
  <sheetData>
    <row r="1" spans="1:8" x14ac:dyDescent="0.45">
      <c r="A1" t="s">
        <v>7</v>
      </c>
    </row>
    <row r="2" spans="1:8" x14ac:dyDescent="0.45">
      <c r="B2" t="s">
        <v>3</v>
      </c>
      <c r="C2" t="s">
        <v>5</v>
      </c>
      <c r="D2" t="s">
        <v>6</v>
      </c>
      <c r="E2" t="s">
        <v>4</v>
      </c>
      <c r="G2" t="s">
        <v>8</v>
      </c>
      <c r="H2" t="s">
        <v>9</v>
      </c>
    </row>
    <row r="3" spans="1:8" x14ac:dyDescent="0.45">
      <c r="A3" t="s">
        <v>0</v>
      </c>
      <c r="B3">
        <v>54</v>
      </c>
      <c r="C3">
        <v>43</v>
      </c>
      <c r="D3">
        <v>75</v>
      </c>
      <c r="E3">
        <v>60</v>
      </c>
      <c r="G3" cm="1">
        <f t="array" ref="G3">MAX(B3:E3/(B$4:E$4+1))</f>
        <v>1.3333333333333333</v>
      </c>
      <c r="H3" cm="1">
        <f t="array" ref="H3">MIN((B3:E3+1)/(B$4:E$4))</f>
        <v>1.3571428571428572</v>
      </c>
    </row>
    <row r="4" spans="1:8" x14ac:dyDescent="0.45">
      <c r="A4" t="s">
        <v>1</v>
      </c>
      <c r="B4">
        <v>40</v>
      </c>
      <c r="C4">
        <v>32</v>
      </c>
      <c r="D4">
        <v>56</v>
      </c>
      <c r="E4">
        <v>44</v>
      </c>
      <c r="G4" cm="1">
        <f t="array" ref="G4">MAX(B4:E4/(B$4:E$4+1))</f>
        <v>0.98245614035087714</v>
      </c>
      <c r="H4" cm="1">
        <f t="array" ref="H4">MIN((B4:E4+1)/(B$4:E$4))</f>
        <v>1.0178571428571428</v>
      </c>
    </row>
    <row r="5" spans="1:8" x14ac:dyDescent="0.45">
      <c r="A5" t="s">
        <v>2</v>
      </c>
      <c r="B5">
        <v>34</v>
      </c>
      <c r="C5">
        <v>27</v>
      </c>
      <c r="D5">
        <v>47</v>
      </c>
      <c r="E5">
        <v>38</v>
      </c>
      <c r="G5" cm="1">
        <f t="array" ref="G5">MAX(B5:E5/(B$4:E$4+1))</f>
        <v>0.84444444444444444</v>
      </c>
      <c r="H5" cm="1">
        <f t="array" ref="H5">MIN((B5:E5+1)/(B$4:E$4))</f>
        <v>0.8571428571428571</v>
      </c>
    </row>
    <row r="6" spans="1:8" x14ac:dyDescent="0.45">
      <c r="B6" t="s">
        <v>13</v>
      </c>
      <c r="C6" t="s">
        <v>12</v>
      </c>
      <c r="D6" t="s">
        <v>13</v>
      </c>
      <c r="E6" t="s">
        <v>12</v>
      </c>
    </row>
    <row r="7" spans="1:8" x14ac:dyDescent="0.45">
      <c r="A7" t="s">
        <v>10</v>
      </c>
      <c r="B7" cm="1">
        <f t="array" ref="B7">MAX(B3:B5/($C3:$C5+1))</f>
        <v>1.2272727272727273</v>
      </c>
      <c r="C7" cm="1">
        <f t="array" ref="C7">MAX(E3:E5/($C3:$C5+1))</f>
        <v>1.3636363636363635</v>
      </c>
      <c r="D7" cm="1">
        <f t="array" ref="D7">MAX(D3:D5/($E3:$E5+1))</f>
        <v>1.2444444444444445</v>
      </c>
      <c r="E7" cm="1">
        <f t="array" ref="E7">MAX(D3:D5/($B3:$B5+1))</f>
        <v>1.3658536585365855</v>
      </c>
    </row>
    <row r="8" spans="1:8" x14ac:dyDescent="0.45">
      <c r="A8" t="s">
        <v>11</v>
      </c>
      <c r="B8" cm="1">
        <f t="array" ref="B8">MIN((B3:B5+1)/($C3:$C5))</f>
        <v>1.2790697674418605</v>
      </c>
      <c r="C8" cm="1">
        <f t="array" ref="C8">MIN((E3:E5+1)/($C3:$C5))</f>
        <v>1.40625</v>
      </c>
      <c r="D8" cm="1">
        <f t="array" ref="D8">MIN((D3:D5+1)/($E3:$E5))</f>
        <v>1.263157894736842</v>
      </c>
      <c r="E8" cm="1">
        <f t="array" ref="E8">MIN((D3:D5+1)/($B3:$B5))</f>
        <v>1.4074074074074074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745129641f03484f1ad2c65a42b95699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19a18bd7ce4e3bd0df15c7d2e99059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2B2F22-F317-46CF-A61F-70B0022A217B}">
  <ds:schemaRefs>
    <ds:schemaRef ds:uri="http://schemas.openxmlformats.org/package/2006/metadata/core-properties"/>
    <ds:schemaRef ds:uri="http://www.w3.org/XML/1998/namespace"/>
    <ds:schemaRef ds:uri="http://purl.org/dc/terms/"/>
    <ds:schemaRef ds:uri="08ceecc5-2daa-47f4-9f70-3b427bddc800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3bd2448e-bc80-4060-9b44-5204c1169a8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9ADB6C2-4677-4057-BBDC-9340A11B1F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590C28-EBAC-4333-92D4-22C8D78ADD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2026-06-09T22:02:07Z</dcterms:created>
  <dcterms:modified xsi:type="dcterms:W3CDTF">2026-09-29T04:36:56Z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