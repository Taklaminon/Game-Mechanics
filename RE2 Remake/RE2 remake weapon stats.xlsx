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Game mechanics\repo\"/>
    </mc:Choice>
  </mc:AlternateContent>
  <xr:revisionPtr revIDLastSave="0" documentId="8_{7EDD1BB4-1DBC-401A-B0B2-3ED6A3C4A49D}" xr6:coauthVersionLast="47" xr6:coauthVersionMax="47" xr10:uidLastSave="{00000000-0000-0000-0000-000000000000}"/>
  <bookViews>
    <workbookView xWindow="-98" yWindow="-98" windowWidth="19396" windowHeight="11475" xr2:uid="{E73718A4-B25C-4596-B833-5F2FFDAF3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F41" i="1" l="1"/>
  <c r="AF43" i="1" s="1"/>
  <c r="AF42" i="1"/>
  <c r="AE41" i="1"/>
  <c r="AE43" i="1" s="1"/>
  <c r="AE42" i="1"/>
  <c r="V41" i="1"/>
  <c r="V43" i="1" s="1"/>
  <c r="V42" i="1"/>
  <c r="AD41" i="1"/>
  <c r="AD43" i="1" s="1"/>
  <c r="AD42" i="1"/>
  <c r="AC41" i="1"/>
  <c r="AC43" i="1" s="1"/>
  <c r="AC42" i="1"/>
  <c r="AB41" i="1"/>
  <c r="AB43" i="1" s="1"/>
  <c r="AB42" i="1"/>
  <c r="AA41" i="1"/>
  <c r="AA43" i="1" s="1"/>
  <c r="AA42" i="1"/>
  <c r="AA44" i="1"/>
  <c r="Z41" i="1"/>
  <c r="Z43" i="1" s="1"/>
  <c r="Z42" i="1"/>
  <c r="Y41" i="1"/>
  <c r="Y43" i="1" s="1"/>
  <c r="Y42" i="1"/>
  <c r="X42" i="1"/>
  <c r="X43" i="1" s="1"/>
  <c r="X41" i="1"/>
  <c r="X44" i="1" s="1"/>
  <c r="U42" i="1"/>
  <c r="U41" i="1"/>
  <c r="U44" i="1" s="1"/>
  <c r="T41" i="1"/>
  <c r="T42" i="1"/>
  <c r="S41" i="1"/>
  <c r="S42" i="1"/>
  <c r="R41" i="1"/>
  <c r="R42" i="1"/>
  <c r="Q42" i="1"/>
  <c r="Q41" i="1"/>
  <c r="AF44" i="1" l="1"/>
  <c r="AE44" i="1"/>
  <c r="V44" i="1"/>
  <c r="AD44" i="1"/>
  <c r="AC44" i="1"/>
  <c r="AB44" i="1"/>
  <c r="Z44" i="1"/>
  <c r="Y44" i="1"/>
  <c r="Q43" i="1"/>
  <c r="T43" i="1"/>
  <c r="R43" i="1"/>
  <c r="S43" i="1"/>
  <c r="T44" i="1"/>
  <c r="Q44" i="1"/>
  <c r="S44" i="1"/>
  <c r="U43" i="1"/>
  <c r="R44" i="1"/>
</calcChain>
</file>

<file path=xl/sharedStrings.xml><?xml version="1.0" encoding="utf-8"?>
<sst xmlns="http://schemas.openxmlformats.org/spreadsheetml/2006/main" count="71" uniqueCount="57">
  <si>
    <t>spread</t>
  </si>
  <si>
    <t>spread fit</t>
  </si>
  <si>
    <t>crit rate</t>
  </si>
  <si>
    <t>crit rate fit</t>
  </si>
  <si>
    <t>bullet origin</t>
  </si>
  <si>
    <t>power</t>
  </si>
  <si>
    <t>wince</t>
  </si>
  <si>
    <t>break</t>
  </si>
  <si>
    <t>power rate</t>
  </si>
  <si>
    <t>wince rate</t>
  </si>
  <si>
    <t>break rate</t>
  </si>
  <si>
    <t>fit power rate</t>
  </si>
  <si>
    <t>fit wince rate</t>
  </si>
  <si>
    <t>fit break rate</t>
  </si>
  <si>
    <t>crit power rate</t>
  </si>
  <si>
    <t>crit wince rate</t>
  </si>
  <si>
    <t>crit break rate</t>
  </si>
  <si>
    <t>Matilda</t>
  </si>
  <si>
    <t>Camera</t>
  </si>
  <si>
    <t>M19</t>
  </si>
  <si>
    <t>JMB Hp3</t>
  </si>
  <si>
    <t>Quickdraw Army</t>
  </si>
  <si>
    <t>MUP</t>
  </si>
  <si>
    <t>Broom Hc</t>
  </si>
  <si>
    <t>SLS 60 (normal ammo)</t>
  </si>
  <si>
    <t>SLS 60 (magnum ammo)</t>
  </si>
  <si>
    <t>MQ11</t>
  </si>
  <si>
    <t>LE5</t>
  </si>
  <si>
    <t>Lightning Hawk</t>
  </si>
  <si>
    <t>Minigun</t>
  </si>
  <si>
    <t>W870 (center)</t>
  </si>
  <si>
    <t>W870 (around)</t>
  </si>
  <si>
    <t>actual base damage</t>
  </si>
  <si>
    <t>spread is a lot higher than listed, since there's 2 more spread stats that seem to add together to give a value 4x as high. Need to check</t>
  </si>
  <si>
    <t>notes</t>
  </si>
  <si>
    <t>Crit rate testing (SLS)</t>
  </si>
  <si>
    <t>damage per hit</t>
  </si>
  <si>
    <t>starting hp</t>
  </si>
  <si>
    <t>starting shots hit</t>
  </si>
  <si>
    <t>ending hp</t>
  </si>
  <si>
    <t>ending shots hit</t>
  </si>
  <si>
    <t>damage</t>
  </si>
  <si>
    <t>shots</t>
  </si>
  <si>
    <t>damage per shot</t>
  </si>
  <si>
    <t>number of crits</t>
  </si>
  <si>
    <t>damage per crit</t>
  </si>
  <si>
    <t>MQ11 (upgraded)</t>
  </si>
  <si>
    <t>SLS</t>
  </si>
  <si>
    <t>MQ11 (ext mag)</t>
  </si>
  <si>
    <t>MQ11 (suppressor)</t>
  </si>
  <si>
    <t>MQ11 (upgraded again)</t>
  </si>
  <si>
    <t>How did I get the same results twice in a row???</t>
  </si>
  <si>
    <t>It was a fluke</t>
  </si>
  <si>
    <t>SLS (upgraded)</t>
  </si>
  <si>
    <t>JMB</t>
  </si>
  <si>
    <t>JMB (upgraded)</t>
  </si>
  <si>
    <t>JMB does, in fact, have a crit rate half that of the SLS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</si>
</sst>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2BBE-6FB4-465C-A2E9-6794D2AA4620}">
  <dimension ref="A1:AF45"/>
  <sheetViews>
    <sheetView tabSelected="1" workbookViewId="0">
      <selection activeCell="AF45" sqref="AF45"/>
    </sheetView>
  </sheetViews>
  <sheetFormatPr defaultRowHeight="14.25" x14ac:dyDescent="0.45"/>
  <cols>
    <col min="1" max="1" width="22.59765625" bestFit="1" customWidth="1"/>
    <col min="2" max="2" width="7.1328125" bestFit="1" customWidth="1"/>
    <col min="3" max="3" width="9.265625" bestFit="1" customWidth="1"/>
    <col min="4" max="4" width="7.73046875" bestFit="1" customWidth="1"/>
    <col min="5" max="5" width="9.86328125" bestFit="1" customWidth="1"/>
    <col min="6" max="6" width="11.59765625" bestFit="1" customWidth="1"/>
    <col min="7" max="7" width="14.265625" bestFit="1" customWidth="1"/>
    <col min="8" max="8" width="19.1328125" bestFit="1" customWidth="1"/>
    <col min="9" max="9" width="6.1328125" bestFit="1" customWidth="1"/>
    <col min="10" max="10" width="6" bestFit="1" customWidth="1"/>
    <col min="11" max="11" width="10.265625" bestFit="1" customWidth="1"/>
    <col min="12" max="12" width="10" bestFit="1" customWidth="1"/>
    <col min="13" max="13" width="9.86328125" bestFit="1" customWidth="1"/>
    <col min="14" max="14" width="12.3984375" bestFit="1" customWidth="1"/>
    <col min="15" max="15" width="12.1328125" bestFit="1" customWidth="1"/>
    <col min="16" max="16" width="15.59765625" customWidth="1"/>
    <col min="17" max="17" width="13.73046875" bestFit="1" customWidth="1"/>
    <col min="18" max="18" width="13.3984375" bestFit="1" customWidth="1"/>
    <col min="19" max="19" width="13.265625" bestFit="1" customWidth="1"/>
    <col min="22" max="22" width="14.265625" bestFit="1" customWidth="1"/>
    <col min="26" max="26" width="26.265625" customWidth="1"/>
    <col min="27" max="27" width="18.1328125" bestFit="1" customWidth="1"/>
  </cols>
  <sheetData>
    <row r="1" spans="1:20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32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34</v>
      </c>
    </row>
    <row r="2" spans="1:20" x14ac:dyDescent="0.45">
      <c r="A2" t="s">
        <v>17</v>
      </c>
      <c r="B2">
        <v>0.03</v>
      </c>
      <c r="C2">
        <v>8.0000000000000002E-3</v>
      </c>
      <c r="D2">
        <v>4</v>
      </c>
      <c r="E2">
        <v>8</v>
      </c>
      <c r="F2" t="s">
        <v>18</v>
      </c>
      <c r="G2">
        <v>100</v>
      </c>
      <c r="H2">
        <v>100</v>
      </c>
      <c r="I2">
        <v>30</v>
      </c>
      <c r="J2">
        <v>20</v>
      </c>
      <c r="K2">
        <v>1</v>
      </c>
      <c r="L2">
        <v>1</v>
      </c>
      <c r="M2">
        <v>1</v>
      </c>
      <c r="N2">
        <v>1.5</v>
      </c>
      <c r="O2">
        <v>1.5</v>
      </c>
      <c r="P2">
        <v>1</v>
      </c>
      <c r="Q2">
        <v>3</v>
      </c>
      <c r="R2">
        <v>1.5</v>
      </c>
      <c r="S2">
        <v>1.5</v>
      </c>
    </row>
    <row r="3" spans="1:20" x14ac:dyDescent="0.45">
      <c r="A3" t="s">
        <v>19</v>
      </c>
      <c r="B3">
        <v>0.02</v>
      </c>
      <c r="C3">
        <v>4.0000000000000001E-3</v>
      </c>
      <c r="D3">
        <v>5</v>
      </c>
      <c r="E3">
        <v>10</v>
      </c>
      <c r="F3" t="s">
        <v>18</v>
      </c>
      <c r="G3">
        <v>110</v>
      </c>
      <c r="H3">
        <v>100</v>
      </c>
      <c r="I3">
        <v>30</v>
      </c>
      <c r="J3">
        <v>20</v>
      </c>
      <c r="K3">
        <v>1.4</v>
      </c>
      <c r="L3">
        <v>1.2</v>
      </c>
      <c r="M3">
        <v>1.2</v>
      </c>
      <c r="N3">
        <v>1.5</v>
      </c>
      <c r="O3">
        <v>1.5</v>
      </c>
      <c r="P3">
        <v>1</v>
      </c>
      <c r="Q3">
        <v>3</v>
      </c>
      <c r="R3">
        <v>3</v>
      </c>
      <c r="S3">
        <v>3</v>
      </c>
    </row>
    <row r="4" spans="1:20" x14ac:dyDescent="0.45">
      <c r="A4" t="s">
        <v>20</v>
      </c>
      <c r="B4">
        <v>2.5000000000000001E-2</v>
      </c>
      <c r="C4">
        <v>8.0000000000000002E-3</v>
      </c>
      <c r="D4">
        <v>4</v>
      </c>
      <c r="E4">
        <v>5</v>
      </c>
      <c r="F4" t="s">
        <v>18</v>
      </c>
      <c r="G4">
        <v>110</v>
      </c>
      <c r="H4">
        <v>100</v>
      </c>
      <c r="I4">
        <v>25</v>
      </c>
      <c r="J4">
        <v>35</v>
      </c>
      <c r="K4">
        <v>1</v>
      </c>
      <c r="L4">
        <v>1</v>
      </c>
      <c r="M4">
        <v>1</v>
      </c>
      <c r="N4">
        <v>1.5</v>
      </c>
      <c r="O4">
        <v>1.6</v>
      </c>
      <c r="P4">
        <v>1.2</v>
      </c>
      <c r="Q4">
        <v>3</v>
      </c>
      <c r="R4">
        <v>1.6</v>
      </c>
      <c r="S4">
        <v>1.2</v>
      </c>
    </row>
    <row r="5" spans="1:20" x14ac:dyDescent="0.45">
      <c r="A5" t="s">
        <v>21</v>
      </c>
      <c r="B5">
        <v>0.03</v>
      </c>
      <c r="C5">
        <v>8.0000000000000002E-3</v>
      </c>
      <c r="D5">
        <v>6</v>
      </c>
      <c r="E5">
        <v>9</v>
      </c>
      <c r="F5" t="s">
        <v>18</v>
      </c>
      <c r="G5">
        <v>300</v>
      </c>
      <c r="H5">
        <v>100</v>
      </c>
      <c r="I5">
        <v>40</v>
      </c>
      <c r="J5">
        <v>30</v>
      </c>
      <c r="K5">
        <v>1.8</v>
      </c>
      <c r="L5">
        <v>2</v>
      </c>
      <c r="M5">
        <v>1</v>
      </c>
      <c r="N5">
        <v>1.5</v>
      </c>
      <c r="O5">
        <v>2</v>
      </c>
      <c r="P5">
        <v>1</v>
      </c>
      <c r="Q5">
        <v>3</v>
      </c>
      <c r="R5">
        <v>2.5</v>
      </c>
      <c r="S5">
        <v>1.5</v>
      </c>
    </row>
    <row r="6" spans="1:20" x14ac:dyDescent="0.45">
      <c r="A6" t="s">
        <v>22</v>
      </c>
      <c r="B6">
        <v>0.04</v>
      </c>
      <c r="C6">
        <v>1E-3</v>
      </c>
      <c r="D6">
        <v>5</v>
      </c>
      <c r="E6">
        <v>8</v>
      </c>
      <c r="F6" t="s">
        <v>18</v>
      </c>
      <c r="G6">
        <v>150</v>
      </c>
      <c r="H6">
        <v>100</v>
      </c>
      <c r="I6">
        <v>5</v>
      </c>
      <c r="J6">
        <v>20</v>
      </c>
      <c r="K6">
        <v>1</v>
      </c>
      <c r="L6">
        <v>1</v>
      </c>
      <c r="M6">
        <v>1</v>
      </c>
      <c r="N6">
        <v>1.5</v>
      </c>
      <c r="O6">
        <v>2</v>
      </c>
      <c r="P6">
        <v>1</v>
      </c>
      <c r="Q6">
        <v>3</v>
      </c>
      <c r="R6">
        <v>2</v>
      </c>
      <c r="S6">
        <v>1.5</v>
      </c>
    </row>
    <row r="7" spans="1:20" x14ac:dyDescent="0.45">
      <c r="A7" t="s">
        <v>23</v>
      </c>
      <c r="B7">
        <v>3.2000000000000001E-2</v>
      </c>
      <c r="C7">
        <v>8.0000000000000002E-3</v>
      </c>
      <c r="D7">
        <v>5</v>
      </c>
      <c r="E7">
        <v>10</v>
      </c>
      <c r="F7" t="s">
        <v>18</v>
      </c>
      <c r="G7">
        <v>90</v>
      </c>
      <c r="H7">
        <v>75</v>
      </c>
      <c r="I7">
        <v>5</v>
      </c>
      <c r="J7">
        <v>20</v>
      </c>
      <c r="K7">
        <v>0.75</v>
      </c>
      <c r="L7">
        <v>1</v>
      </c>
      <c r="M7">
        <v>1</v>
      </c>
      <c r="N7">
        <v>1.5</v>
      </c>
      <c r="O7">
        <v>1.5</v>
      </c>
      <c r="P7">
        <v>1</v>
      </c>
      <c r="Q7">
        <v>4</v>
      </c>
      <c r="R7">
        <v>2</v>
      </c>
      <c r="S7">
        <v>1.5</v>
      </c>
    </row>
    <row r="8" spans="1:20" x14ac:dyDescent="0.45">
      <c r="A8" t="s">
        <v>24</v>
      </c>
      <c r="B8">
        <v>3.2000000000000001E-2</v>
      </c>
      <c r="C8">
        <v>8.0000000000000002E-3</v>
      </c>
      <c r="D8">
        <v>5</v>
      </c>
      <c r="E8">
        <v>10</v>
      </c>
      <c r="F8" t="s">
        <v>18</v>
      </c>
      <c r="G8">
        <v>110</v>
      </c>
      <c r="H8">
        <v>100</v>
      </c>
      <c r="I8">
        <v>40</v>
      </c>
      <c r="J8">
        <v>30</v>
      </c>
      <c r="K8">
        <v>1.1499999999999999</v>
      </c>
      <c r="L8">
        <v>1.1499999999999999</v>
      </c>
      <c r="M8">
        <v>1.1499999999999999</v>
      </c>
      <c r="N8">
        <v>1.3</v>
      </c>
      <c r="O8">
        <v>1</v>
      </c>
      <c r="P8">
        <v>1</v>
      </c>
      <c r="Q8">
        <v>2.8</v>
      </c>
      <c r="R8">
        <v>1</v>
      </c>
      <c r="S8">
        <v>1</v>
      </c>
    </row>
    <row r="9" spans="1:20" x14ac:dyDescent="0.45">
      <c r="A9" t="s">
        <v>25</v>
      </c>
      <c r="B9">
        <v>0.03</v>
      </c>
      <c r="C9">
        <v>8.0000000000000002E-3</v>
      </c>
      <c r="D9">
        <v>5</v>
      </c>
      <c r="E9">
        <v>10</v>
      </c>
      <c r="F9" t="s">
        <v>18</v>
      </c>
      <c r="G9">
        <v>110</v>
      </c>
      <c r="H9">
        <v>650</v>
      </c>
      <c r="I9">
        <v>40</v>
      </c>
      <c r="J9">
        <v>30</v>
      </c>
      <c r="K9">
        <v>1</v>
      </c>
      <c r="L9">
        <v>1</v>
      </c>
      <c r="M9">
        <v>1</v>
      </c>
      <c r="N9">
        <v>1.2</v>
      </c>
      <c r="O9">
        <v>1.2</v>
      </c>
      <c r="P9">
        <v>1.2</v>
      </c>
      <c r="Q9">
        <v>1.3</v>
      </c>
      <c r="R9">
        <v>1.3</v>
      </c>
      <c r="S9">
        <v>1.3</v>
      </c>
    </row>
    <row r="10" spans="1:20" x14ac:dyDescent="0.45">
      <c r="A10" t="s">
        <v>26</v>
      </c>
      <c r="B10">
        <v>0.06</v>
      </c>
      <c r="C10">
        <v>0.01</v>
      </c>
      <c r="D10">
        <v>2</v>
      </c>
      <c r="E10">
        <v>4</v>
      </c>
      <c r="F10" t="s">
        <v>18</v>
      </c>
      <c r="G10">
        <v>40</v>
      </c>
      <c r="H10">
        <v>50</v>
      </c>
      <c r="I10">
        <v>7</v>
      </c>
      <c r="J10">
        <v>15</v>
      </c>
      <c r="K10">
        <v>1.5</v>
      </c>
      <c r="L10">
        <v>1</v>
      </c>
      <c r="M10">
        <v>1</v>
      </c>
      <c r="N10">
        <v>1.5</v>
      </c>
      <c r="O10">
        <v>2.85</v>
      </c>
      <c r="P10">
        <v>1.3</v>
      </c>
      <c r="Q10">
        <v>3</v>
      </c>
      <c r="R10">
        <v>1</v>
      </c>
      <c r="S10">
        <v>1</v>
      </c>
    </row>
    <row r="11" spans="1:20" x14ac:dyDescent="0.45">
      <c r="A11" t="s">
        <v>27</v>
      </c>
      <c r="B11">
        <v>0.04</v>
      </c>
      <c r="C11">
        <v>0.01</v>
      </c>
      <c r="D11">
        <v>8</v>
      </c>
      <c r="E11">
        <v>17</v>
      </c>
      <c r="F11" t="s">
        <v>18</v>
      </c>
      <c r="G11">
        <v>40</v>
      </c>
      <c r="H11">
        <v>45</v>
      </c>
      <c r="I11">
        <v>15</v>
      </c>
      <c r="J11">
        <v>30</v>
      </c>
      <c r="K11">
        <v>1.5</v>
      </c>
      <c r="L11">
        <v>1</v>
      </c>
      <c r="M11">
        <v>1</v>
      </c>
      <c r="N11">
        <v>1.5</v>
      </c>
      <c r="O11">
        <v>2</v>
      </c>
      <c r="P11">
        <v>1.3</v>
      </c>
      <c r="Q11">
        <v>3</v>
      </c>
      <c r="R11">
        <v>3</v>
      </c>
      <c r="S11">
        <v>4</v>
      </c>
    </row>
    <row r="12" spans="1:20" x14ac:dyDescent="0.45">
      <c r="A12" t="s">
        <v>28</v>
      </c>
      <c r="B12">
        <v>3.5000000000000003E-2</v>
      </c>
      <c r="C12">
        <v>0</v>
      </c>
      <c r="D12">
        <v>5</v>
      </c>
      <c r="E12">
        <v>10</v>
      </c>
      <c r="F12" t="s">
        <v>18</v>
      </c>
      <c r="G12">
        <v>800</v>
      </c>
      <c r="H12">
        <v>650</v>
      </c>
      <c r="I12">
        <v>150</v>
      </c>
      <c r="J12">
        <v>180</v>
      </c>
      <c r="K12">
        <v>1</v>
      </c>
      <c r="L12">
        <v>1</v>
      </c>
      <c r="M12">
        <v>1</v>
      </c>
      <c r="N12">
        <v>1.5</v>
      </c>
      <c r="O12">
        <v>1.5</v>
      </c>
      <c r="P12">
        <v>1.5</v>
      </c>
      <c r="Q12">
        <v>1.3</v>
      </c>
      <c r="R12">
        <v>1.3</v>
      </c>
      <c r="S12">
        <v>1.3</v>
      </c>
    </row>
    <row r="13" spans="1:20" x14ac:dyDescent="0.45">
      <c r="A13" t="s">
        <v>29</v>
      </c>
      <c r="B13">
        <v>0.02</v>
      </c>
      <c r="C13">
        <v>0.02</v>
      </c>
      <c r="D13">
        <v>30</v>
      </c>
      <c r="E13">
        <v>0</v>
      </c>
      <c r="F13" t="s">
        <v>18</v>
      </c>
      <c r="G13">
        <v>20</v>
      </c>
      <c r="H13">
        <v>135</v>
      </c>
      <c r="I13">
        <v>20</v>
      </c>
      <c r="J13">
        <v>20</v>
      </c>
      <c r="K13">
        <v>1.5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10</v>
      </c>
      <c r="S13">
        <v>10</v>
      </c>
    </row>
    <row r="14" spans="1:20" x14ac:dyDescent="0.45">
      <c r="A14" t="s">
        <v>30</v>
      </c>
      <c r="B14">
        <v>0.04</v>
      </c>
      <c r="C14">
        <v>0.02</v>
      </c>
      <c r="D14">
        <v>2</v>
      </c>
      <c r="E14">
        <v>2</v>
      </c>
      <c r="F14" t="s">
        <v>18</v>
      </c>
      <c r="G14">
        <v>400</v>
      </c>
      <c r="H14">
        <v>400</v>
      </c>
      <c r="I14">
        <v>200</v>
      </c>
      <c r="J14">
        <v>50</v>
      </c>
      <c r="K14">
        <v>1</v>
      </c>
      <c r="L14">
        <v>1</v>
      </c>
      <c r="M14">
        <v>1</v>
      </c>
      <c r="N14">
        <v>1.5</v>
      </c>
      <c r="O14">
        <v>3</v>
      </c>
      <c r="P14">
        <v>2</v>
      </c>
      <c r="Q14">
        <v>4</v>
      </c>
      <c r="R14">
        <v>2</v>
      </c>
      <c r="S14">
        <v>2</v>
      </c>
    </row>
    <row r="15" spans="1:20" x14ac:dyDescent="0.45">
      <c r="A15" t="s">
        <v>31</v>
      </c>
      <c r="B15">
        <v>0.02</v>
      </c>
      <c r="C15">
        <v>0.01</v>
      </c>
      <c r="D15">
        <v>0</v>
      </c>
      <c r="E15">
        <v>0</v>
      </c>
      <c r="F15" t="s">
        <v>18</v>
      </c>
      <c r="G15">
        <v>40</v>
      </c>
      <c r="H15">
        <v>40</v>
      </c>
      <c r="I15">
        <v>5</v>
      </c>
      <c r="J15">
        <v>20</v>
      </c>
      <c r="K15">
        <v>1</v>
      </c>
      <c r="L15">
        <v>1</v>
      </c>
      <c r="M15">
        <v>1</v>
      </c>
      <c r="N15">
        <v>1.5</v>
      </c>
      <c r="O15">
        <v>1</v>
      </c>
      <c r="P15">
        <v>1</v>
      </c>
      <c r="Q15">
        <v>4</v>
      </c>
      <c r="R15">
        <v>1</v>
      </c>
      <c r="S15">
        <v>1</v>
      </c>
      <c r="T15" t="s">
        <v>33</v>
      </c>
    </row>
    <row r="34" spans="16:32" x14ac:dyDescent="0.45">
      <c r="P34" t="s">
        <v>35</v>
      </c>
      <c r="U34" t="s">
        <v>47</v>
      </c>
      <c r="V34" t="s">
        <v>53</v>
      </c>
      <c r="X34" t="s">
        <v>26</v>
      </c>
      <c r="Y34" t="s">
        <v>46</v>
      </c>
      <c r="Z34" t="s">
        <v>48</v>
      </c>
      <c r="AA34" t="s">
        <v>49</v>
      </c>
      <c r="AB34" t="s">
        <v>50</v>
      </c>
      <c r="AE34" t="s">
        <v>54</v>
      </c>
      <c r="AF34" t="s">
        <v>55</v>
      </c>
    </row>
    <row r="35" spans="16:32" x14ac:dyDescent="0.45">
      <c r="P35" t="s">
        <v>36</v>
      </c>
      <c r="Q35">
        <v>88</v>
      </c>
      <c r="R35">
        <v>88</v>
      </c>
      <c r="S35">
        <v>88</v>
      </c>
      <c r="T35">
        <v>88</v>
      </c>
      <c r="U35">
        <v>49</v>
      </c>
      <c r="V35">
        <v>49</v>
      </c>
      <c r="X35">
        <v>35</v>
      </c>
      <c r="Y35">
        <v>43</v>
      </c>
      <c r="Z35">
        <v>35</v>
      </c>
      <c r="AA35">
        <v>43</v>
      </c>
      <c r="AB35">
        <v>43</v>
      </c>
      <c r="AC35">
        <v>43</v>
      </c>
      <c r="AD35">
        <v>43</v>
      </c>
      <c r="AE35">
        <v>49</v>
      </c>
      <c r="AF35">
        <v>49</v>
      </c>
    </row>
    <row r="36" spans="16:32" x14ac:dyDescent="0.45">
      <c r="P36" t="s">
        <v>45</v>
      </c>
      <c r="Q36">
        <v>245</v>
      </c>
      <c r="R36">
        <v>245</v>
      </c>
      <c r="S36">
        <v>245</v>
      </c>
      <c r="T36">
        <v>245</v>
      </c>
      <c r="U36">
        <v>137</v>
      </c>
      <c r="V36">
        <v>137</v>
      </c>
      <c r="X36">
        <v>103</v>
      </c>
      <c r="Y36">
        <v>128</v>
      </c>
      <c r="Z36">
        <v>103</v>
      </c>
      <c r="AA36">
        <v>128</v>
      </c>
      <c r="AB36">
        <v>128</v>
      </c>
      <c r="AC36">
        <v>128</v>
      </c>
      <c r="AD36">
        <v>128</v>
      </c>
      <c r="AE36">
        <v>147</v>
      </c>
      <c r="AF36">
        <v>147</v>
      </c>
    </row>
    <row r="37" spans="16:32" x14ac:dyDescent="0.45">
      <c r="P37" t="s">
        <v>37</v>
      </c>
      <c r="Q37">
        <v>7017</v>
      </c>
      <c r="R37">
        <v>7595</v>
      </c>
      <c r="S37">
        <v>8041</v>
      </c>
      <c r="T37">
        <v>7017</v>
      </c>
      <c r="U37">
        <v>30738</v>
      </c>
      <c r="V37">
        <v>32105</v>
      </c>
      <c r="X37">
        <v>31232</v>
      </c>
      <c r="Y37">
        <v>31762</v>
      </c>
      <c r="Z37">
        <v>31724</v>
      </c>
      <c r="AA37">
        <v>32105</v>
      </c>
      <c r="AB37">
        <v>32105</v>
      </c>
      <c r="AC37">
        <v>32105</v>
      </c>
      <c r="AD37">
        <v>32105</v>
      </c>
      <c r="AE37">
        <v>32105</v>
      </c>
      <c r="AF37">
        <v>32105</v>
      </c>
    </row>
    <row r="38" spans="16:32" x14ac:dyDescent="0.45">
      <c r="P38" t="s">
        <v>38</v>
      </c>
      <c r="Q38">
        <v>7</v>
      </c>
      <c r="R38">
        <v>76</v>
      </c>
      <c r="S38">
        <v>41</v>
      </c>
      <c r="T38">
        <v>0</v>
      </c>
      <c r="U38">
        <v>131</v>
      </c>
      <c r="V38">
        <v>113</v>
      </c>
      <c r="X38">
        <v>136</v>
      </c>
      <c r="Y38">
        <v>119</v>
      </c>
      <c r="Z38">
        <v>120</v>
      </c>
      <c r="AA38">
        <v>113</v>
      </c>
      <c r="AB38">
        <v>113</v>
      </c>
      <c r="AC38">
        <v>113</v>
      </c>
      <c r="AD38">
        <v>113</v>
      </c>
      <c r="AE38">
        <v>113</v>
      </c>
      <c r="AF38">
        <v>113</v>
      </c>
    </row>
    <row r="39" spans="16:32" x14ac:dyDescent="0.45">
      <c r="P39" t="s">
        <v>39</v>
      </c>
      <c r="Q39">
        <v>600</v>
      </c>
      <c r="R39">
        <v>160</v>
      </c>
      <c r="S39">
        <v>399</v>
      </c>
      <c r="T39">
        <v>657</v>
      </c>
      <c r="U39">
        <v>1554</v>
      </c>
      <c r="V39">
        <v>1020</v>
      </c>
      <c r="X39">
        <v>247</v>
      </c>
      <c r="Y39">
        <v>1638</v>
      </c>
      <c r="Z39">
        <v>1056</v>
      </c>
      <c r="AA39">
        <v>1003</v>
      </c>
      <c r="AB39">
        <v>1003</v>
      </c>
      <c r="AC39">
        <v>1037</v>
      </c>
      <c r="AD39">
        <v>611</v>
      </c>
      <c r="AE39">
        <v>843</v>
      </c>
      <c r="AF39">
        <v>941</v>
      </c>
    </row>
    <row r="40" spans="16:32" x14ac:dyDescent="0.45">
      <c r="P40" t="s">
        <v>40</v>
      </c>
      <c r="Q40">
        <v>71</v>
      </c>
      <c r="R40">
        <v>148</v>
      </c>
      <c r="S40">
        <v>110</v>
      </c>
      <c r="T40">
        <v>58</v>
      </c>
      <c r="U40">
        <v>635</v>
      </c>
      <c r="V40">
        <v>654</v>
      </c>
      <c r="X40">
        <v>963</v>
      </c>
      <c r="Y40">
        <v>782</v>
      </c>
      <c r="Z40">
        <v>936</v>
      </c>
      <c r="AA40">
        <v>777</v>
      </c>
      <c r="AB40">
        <v>777</v>
      </c>
      <c r="AC40">
        <v>794</v>
      </c>
      <c r="AD40">
        <v>796</v>
      </c>
      <c r="AE40">
        <v>697</v>
      </c>
      <c r="AF40">
        <v>683</v>
      </c>
    </row>
    <row r="41" spans="16:32" x14ac:dyDescent="0.45">
      <c r="P41" t="s">
        <v>41</v>
      </c>
      <c r="Q41">
        <f t="shared" ref="Q41:V41" si="0">Q37-Q39</f>
        <v>6417</v>
      </c>
      <c r="R41">
        <f t="shared" si="0"/>
        <v>7435</v>
      </c>
      <c r="S41">
        <f t="shared" si="0"/>
        <v>7642</v>
      </c>
      <c r="T41">
        <f t="shared" si="0"/>
        <v>6360</v>
      </c>
      <c r="U41">
        <f t="shared" si="0"/>
        <v>29184</v>
      </c>
      <c r="V41">
        <f t="shared" si="0"/>
        <v>31085</v>
      </c>
      <c r="X41">
        <f t="shared" ref="X41:AF41" si="1">X37-X39</f>
        <v>30985</v>
      </c>
      <c r="Y41">
        <f t="shared" si="1"/>
        <v>30124</v>
      </c>
      <c r="Z41">
        <f t="shared" si="1"/>
        <v>30668</v>
      </c>
      <c r="AA41">
        <f t="shared" si="1"/>
        <v>31102</v>
      </c>
      <c r="AB41">
        <f t="shared" si="1"/>
        <v>31102</v>
      </c>
      <c r="AC41">
        <f t="shared" si="1"/>
        <v>31068</v>
      </c>
      <c r="AD41">
        <f t="shared" si="1"/>
        <v>31494</v>
      </c>
      <c r="AE41">
        <f t="shared" si="1"/>
        <v>31262</v>
      </c>
      <c r="AF41">
        <f t="shared" si="1"/>
        <v>31164</v>
      </c>
    </row>
    <row r="42" spans="16:32" x14ac:dyDescent="0.45">
      <c r="P42" t="s">
        <v>42</v>
      </c>
      <c r="Q42">
        <f t="shared" ref="Q42:V42" si="2">Q40-Q38</f>
        <v>64</v>
      </c>
      <c r="R42">
        <f t="shared" si="2"/>
        <v>72</v>
      </c>
      <c r="S42">
        <f t="shared" si="2"/>
        <v>69</v>
      </c>
      <c r="T42">
        <f t="shared" si="2"/>
        <v>58</v>
      </c>
      <c r="U42">
        <f t="shared" si="2"/>
        <v>504</v>
      </c>
      <c r="V42">
        <f t="shared" si="2"/>
        <v>541</v>
      </c>
      <c r="X42">
        <f t="shared" ref="X42:AF42" si="3">X40-X38</f>
        <v>827</v>
      </c>
      <c r="Y42">
        <f t="shared" si="3"/>
        <v>663</v>
      </c>
      <c r="Z42">
        <f t="shared" si="3"/>
        <v>816</v>
      </c>
      <c r="AA42">
        <f t="shared" si="3"/>
        <v>664</v>
      </c>
      <c r="AB42">
        <f t="shared" si="3"/>
        <v>664</v>
      </c>
      <c r="AC42">
        <f t="shared" si="3"/>
        <v>681</v>
      </c>
      <c r="AD42">
        <f t="shared" si="3"/>
        <v>683</v>
      </c>
      <c r="AE42">
        <f t="shared" si="3"/>
        <v>584</v>
      </c>
      <c r="AF42">
        <f t="shared" si="3"/>
        <v>570</v>
      </c>
    </row>
    <row r="43" spans="16:32" x14ac:dyDescent="0.45">
      <c r="P43" t="s">
        <v>43</v>
      </c>
      <c r="Q43">
        <f t="shared" ref="Q43:V43" si="4">Q41/Q42</f>
        <v>100.265625</v>
      </c>
      <c r="R43">
        <f t="shared" si="4"/>
        <v>103.26388888888889</v>
      </c>
      <c r="S43">
        <f t="shared" si="4"/>
        <v>110.7536231884058</v>
      </c>
      <c r="T43">
        <f t="shared" si="4"/>
        <v>109.65517241379311</v>
      </c>
      <c r="U43">
        <f t="shared" si="4"/>
        <v>57.904761904761905</v>
      </c>
      <c r="V43">
        <f t="shared" si="4"/>
        <v>57.458410351201479</v>
      </c>
      <c r="X43">
        <f t="shared" ref="X43:AF43" si="5">X41/X42</f>
        <v>37.466747279322853</v>
      </c>
      <c r="Y43">
        <f t="shared" si="5"/>
        <v>45.435897435897438</v>
      </c>
      <c r="Z43">
        <f t="shared" si="5"/>
        <v>37.583333333333336</v>
      </c>
      <c r="AA43">
        <f t="shared" si="5"/>
        <v>46.840361445783131</v>
      </c>
      <c r="AB43">
        <f t="shared" si="5"/>
        <v>46.840361445783131</v>
      </c>
      <c r="AC43">
        <f t="shared" si="5"/>
        <v>45.621145374449341</v>
      </c>
      <c r="AD43">
        <f t="shared" si="5"/>
        <v>46.111273792093705</v>
      </c>
      <c r="AE43">
        <f t="shared" si="5"/>
        <v>53.530821917808218</v>
      </c>
      <c r="AF43">
        <f t="shared" si="5"/>
        <v>54.673684210526318</v>
      </c>
    </row>
    <row r="44" spans="16:32" x14ac:dyDescent="0.45">
      <c r="P44" t="s">
        <v>44</v>
      </c>
      <c r="Q44">
        <f t="shared" ref="Q44:V44" si="6">(Q41-Q35*Q42)/(Q36-Q35)</f>
        <v>5</v>
      </c>
      <c r="R44">
        <f t="shared" si="6"/>
        <v>7</v>
      </c>
      <c r="S44">
        <f t="shared" si="6"/>
        <v>10</v>
      </c>
      <c r="T44">
        <f t="shared" si="6"/>
        <v>8</v>
      </c>
      <c r="U44">
        <f t="shared" si="6"/>
        <v>51</v>
      </c>
      <c r="V44">
        <f t="shared" si="6"/>
        <v>52</v>
      </c>
      <c r="X44">
        <f t="shared" ref="X44:AF44" si="7">(X41-X35*X42)/(X36-X35)</f>
        <v>30</v>
      </c>
      <c r="Y44">
        <f t="shared" si="7"/>
        <v>19</v>
      </c>
      <c r="Z44">
        <f t="shared" si="7"/>
        <v>31</v>
      </c>
      <c r="AA44">
        <f t="shared" si="7"/>
        <v>30</v>
      </c>
      <c r="AB44">
        <f t="shared" si="7"/>
        <v>30</v>
      </c>
      <c r="AC44">
        <f t="shared" si="7"/>
        <v>21</v>
      </c>
      <c r="AD44">
        <f t="shared" si="7"/>
        <v>25</v>
      </c>
      <c r="AE44">
        <f t="shared" si="7"/>
        <v>27</v>
      </c>
      <c r="AF44">
        <f t="shared" si="7"/>
        <v>33</v>
      </c>
    </row>
    <row r="45" spans="16:32" x14ac:dyDescent="0.45">
      <c r="AB45" t="s">
        <v>51</v>
      </c>
      <c r="AC45" t="s">
        <v>52</v>
      </c>
      <c r="AF45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5" ma:contentTypeDescription="Create a new document." ma:contentTypeScope="" ma:versionID="745129641f03484f1ad2c65a42b95699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119a18bd7ce4e3bd0df15c7d2e99059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137764-79BC-4D34-8659-F24D67E4C23A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08ceecc5-2daa-47f4-9f70-3b427bddc800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elements/1.1/"/>
    <ds:schemaRef ds:uri="3bd2448e-bc80-4060-9b44-5204c1169a8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628224A-1125-43E0-AE8B-2DD99FA0BC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999854-F6CF-4870-B172-F8010F9DE3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2026-07-06T21:03:49Z</dcterms:created>
  <dcterms:modified xsi:type="dcterms:W3CDTF">2026-09-29T04:33:54Z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